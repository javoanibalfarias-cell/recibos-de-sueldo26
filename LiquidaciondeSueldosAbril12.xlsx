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png" ContentType="image/png"/>
  <Default Extension="jpeg" ContentType="image/jpeg"/>
  <Default Extension="JPG" ContentType="image/.jp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trlProps/ctrlProp1.xml" ContentType="application/vnd.ms-excel.control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Password="C6DC" lockStructure="1"/>
  <bookViews>
    <workbookView windowWidth="25545" windowHeight="10830" tabRatio="928" firstSheet="2" activeTab="3"/>
  </bookViews>
  <sheets>
    <sheet name="Listas" sheetId="4" state="hidden" r:id="rId1"/>
    <sheet name="Menú" sheetId="13" r:id="rId2"/>
    <sheet name="Empleador" sheetId="3" r:id="rId3"/>
    <sheet name="Empleados" sheetId="5" r:id="rId4"/>
    <sheet name="Remuneración" sheetId="1" r:id="rId5"/>
    <sheet name="Ret. y no Rem." sheetId="2" r:id="rId6"/>
    <sheet name="Ret. VAV y SAC" sheetId="16" state="hidden" r:id="rId7"/>
    <sheet name="Recibo" sheetId="6" r:id="rId8"/>
    <sheet name="Recibo SAC" sheetId="10" r:id="rId9"/>
    <sheet name="Recibo Vacaciones" sheetId="15" r:id="rId10"/>
    <sheet name="Reporte" sheetId="7" r:id="rId11"/>
    <sheet name="Importante" sheetId="14" r:id="rId12"/>
  </sheets>
  <definedNames>
    <definedName name="_xlnm._FilterDatabase" localSheetId="4" hidden="1">Remuneración!$B$7:$AP$58</definedName>
    <definedName name="_xlnm._FilterDatabase" localSheetId="7" hidden="1">Recibo!$C$18:$J$100</definedName>
    <definedName name="_xlnm._FilterDatabase" localSheetId="8" hidden="1">'Recibo SAC'!$C$18:$J$49</definedName>
    <definedName name="_xlnm._FilterDatabase" localSheetId="9" hidden="1">'Recibo Vacaciones'!$C$18:$J$53</definedName>
    <definedName name="AFJPs">Listas!$O$3:$O$15</definedName>
    <definedName name="_xlnm.Print_Area" localSheetId="7">Recibo!$B$4:$K$106</definedName>
    <definedName name="_xlnm.Print_Area" localSheetId="8">'Recibo SAC'!$B$4:$K$55</definedName>
    <definedName name="_xlnm.Print_Area" localSheetId="9">'Recibo Vacaciones'!$B$4:$K$59</definedName>
    <definedName name="_xlnm.Print_Area" localSheetId="4">Remuneración!$B$4:$AP$58</definedName>
    <definedName name="_xlnm.Print_Area" localSheetId="10">Reporte!$B$4:$I$56</definedName>
    <definedName name="_xlnm.Print_Area" localSheetId="6">'Ret. VAV y SAC'!$B$5:$V$56</definedName>
    <definedName name="_xlnm.Print_Area" localSheetId="5">'Ret. y no Rem.'!$B$5:$AM$56</definedName>
    <definedName name="LG">"LG"</definedName>
    <definedName name="ListaBancos">Listas!$C$5:$C$90</definedName>
    <definedName name="ListaContratos">#REF!</definedName>
    <definedName name="ListaDias">Listas!$H$2:$H$33</definedName>
    <definedName name="ListaEmpleados">Empleados!$E$7:$E$57</definedName>
    <definedName name="ListaEstadoCivil">Listas!$M$2:$M$7</definedName>
    <definedName name="ListaLegajo">Empleados!$C$7:$C$57</definedName>
    <definedName name="ListaMes">Listas!$F$3:$F$15</definedName>
    <definedName name="ListaMeses">Listas!$A$3:$A$124</definedName>
    <definedName name="ListaSexo">Listas!$L$3:$L$4</definedName>
    <definedName name="MatrizAntiguedad">Listas!$E$24:$G$38</definedName>
    <definedName name="MatrizDatos">#REF!</definedName>
    <definedName name="Provincias">Listas!$J$2:$J$26</definedName>
    <definedName name="TablaEmpleados">Empleados!$C$6:$P$57</definedName>
    <definedName name="TablaNoRemunerativo" localSheetId="6">'Ret. VAV y SAC'!$B$6:$V$56</definedName>
    <definedName name="TablaNoRemunerativo">'Ret. y no Rem.'!$B$6:$AL$56</definedName>
    <definedName name="TablaRemuneracion">Remuneración!$B$7:$AP$58</definedName>
    <definedName name="_xlnm.Print_Titles" localSheetId="4">Remuneración!$B:$C,Remuneración!$6:$7</definedName>
    <definedName name="_xlnm.Print_Titles" localSheetId="10">Reporte!$4:$6</definedName>
    <definedName name="_xlnm.Print_Titles" localSheetId="6">'Ret. VAV y SAC'!$B:$B,'Ret. VAV y SAC'!$5:$6</definedName>
    <definedName name="_xlnm.Print_Titles" localSheetId="5">'Ret. y no Rem.'!$B:$B,'Ret. y no Rem.'!$5:$6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Jorgelina E. Bernasconi</author>
  </authors>
  <commentList>
    <comment ref="C5" authorId="0">
      <text>
        <r>
          <rPr>
            <sz val="8"/>
            <rFont val="Tahoma"/>
            <charset val="0"/>
          </rPr>
          <t>de pagina de Bco Central</t>
        </r>
      </text>
    </comment>
  </commentList>
</comments>
</file>

<file path=xl/comments2.xml><?xml version="1.0" encoding="utf-8"?>
<comments xmlns="http://schemas.openxmlformats.org/spreadsheetml/2006/main">
  <authors>
    <author>Matías Belliard</author>
  </authors>
  <commentList>
    <comment ref="J6" authorId="0">
      <text>
        <r>
          <rPr>
            <b/>
            <sz val="8"/>
            <rFont val="Tahoma"/>
            <charset val="0"/>
          </rPr>
          <t>Creo que se repite este adicional 2 veces.</t>
        </r>
        <r>
          <rPr>
            <sz val="8"/>
            <rFont val="Tahoma"/>
            <charset val="0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Juan</author>
  </authors>
  <commentList>
    <comment ref="N5" authorId="0">
      <text>
        <r>
          <rPr>
            <b/>
            <sz val="8"/>
            <rFont val="Tahoma"/>
            <charset val="0"/>
          </rPr>
          <t>Adicional no Remunerativo,
por Obra Social.</t>
        </r>
      </text>
    </comment>
    <comment ref="P5" authorId="0">
      <text>
        <r>
          <rPr>
            <b/>
            <sz val="8"/>
            <rFont val="Tahoma"/>
            <charset val="0"/>
          </rPr>
          <t>Adicional no Remunerativo,
por Ley 19032.</t>
        </r>
      </text>
    </comment>
    <comment ref="R5" authorId="0">
      <text>
        <r>
          <rPr>
            <b/>
            <sz val="8"/>
            <rFont val="Tahoma"/>
            <charset val="0"/>
          </rPr>
          <t>Adicional no Remunerativo,
por Ley 19032.</t>
        </r>
      </text>
    </comment>
    <comment ref="T5" authorId="0">
      <text>
        <r>
          <rPr>
            <b/>
            <sz val="8"/>
            <rFont val="Tahoma"/>
            <charset val="0"/>
          </rPr>
          <t>Adicional no Remunerativo,
por Ley 19032.</t>
        </r>
      </text>
    </comment>
  </commentList>
</comments>
</file>

<file path=xl/comments4.xml><?xml version="1.0" encoding="utf-8"?>
<comments xmlns="http://schemas.openxmlformats.org/spreadsheetml/2006/main">
  <authors>
    <author>Matías Belliard</author>
  </authors>
  <commentList>
    <comment ref="I5" authorId="0">
      <text>
        <r>
          <rPr>
            <sz val="8"/>
            <rFont val="Tahoma"/>
            <charset val="0"/>
          </rPr>
          <t xml:space="preserve">Elija de la lista desplegable si es el Origina o bien el duplicado.
</t>
        </r>
      </text>
    </comment>
  </commentList>
</comments>
</file>

<file path=xl/comments5.xml><?xml version="1.0" encoding="utf-8"?>
<comments xmlns="http://schemas.openxmlformats.org/spreadsheetml/2006/main">
  <authors>
    <author>Matías Belliard</author>
  </authors>
  <commentList>
    <comment ref="I5" authorId="0">
      <text>
        <r>
          <rPr>
            <sz val="8"/>
            <rFont val="Tahoma"/>
            <charset val="0"/>
          </rPr>
          <t xml:space="preserve">Elija de la lista desplegable si es el Origina o bien el duplicado.
</t>
        </r>
      </text>
    </comment>
  </commentList>
</comments>
</file>

<file path=xl/comments6.xml><?xml version="1.0" encoding="utf-8"?>
<comments xmlns="http://schemas.openxmlformats.org/spreadsheetml/2006/main">
  <authors>
    <author>Matías Belliard</author>
  </authors>
  <commentList>
    <comment ref="I5" authorId="0">
      <text>
        <r>
          <rPr>
            <sz val="8"/>
            <rFont val="Tahoma"/>
            <charset val="0"/>
          </rPr>
          <t xml:space="preserve">Elija de la lista desplegable si es el Origina o bien el duplicado.
</t>
        </r>
      </text>
    </comment>
  </commentList>
</comments>
</file>

<file path=xl/sharedStrings.xml><?xml version="1.0" encoding="utf-8"?>
<sst xmlns="http://schemas.openxmlformats.org/spreadsheetml/2006/main" count="442" uniqueCount="297">
  <si>
    <t>Días</t>
  </si>
  <si>
    <t>Provincia</t>
  </si>
  <si>
    <t>Estado Civil</t>
  </si>
  <si>
    <t>AFJP</t>
  </si>
  <si>
    <t>Lista Meses</t>
  </si>
  <si>
    <t>Entidad Bancaria: falta traer datos del Central</t>
  </si>
  <si>
    <t>Mes</t>
  </si>
  <si>
    <t>ListaBancos</t>
  </si>
  <si>
    <t>Buenos Aires</t>
  </si>
  <si>
    <t>F</t>
  </si>
  <si>
    <t xml:space="preserve">Casado </t>
  </si>
  <si>
    <t>Arauca Bit</t>
  </si>
  <si>
    <t>Enero</t>
  </si>
  <si>
    <t>Capital Federal</t>
  </si>
  <si>
    <t>M</t>
  </si>
  <si>
    <t>Soltero/a</t>
  </si>
  <si>
    <t>Consolidar</t>
  </si>
  <si>
    <t>Abn Amro Bank N. V.</t>
  </si>
  <si>
    <t>Febrero</t>
  </si>
  <si>
    <t>Catamarca</t>
  </si>
  <si>
    <t>Divorciado/a</t>
  </si>
  <si>
    <t>Futura</t>
  </si>
  <si>
    <t>American Express Bank Ltd.</t>
  </si>
  <si>
    <t>Marzo</t>
  </si>
  <si>
    <t>Chaco</t>
  </si>
  <si>
    <t>Viudo/a</t>
  </si>
  <si>
    <t>Generar</t>
  </si>
  <si>
    <t>B.I. Creditanstalt</t>
  </si>
  <si>
    <t>Abril</t>
  </si>
  <si>
    <t>Chubut</t>
  </si>
  <si>
    <t>Concubinos/as</t>
  </si>
  <si>
    <t>Máxima</t>
  </si>
  <si>
    <t>Bacs Banco de Credito Y Securitizacion S</t>
  </si>
  <si>
    <t>Mayo</t>
  </si>
  <si>
    <t>Córdoba</t>
  </si>
  <si>
    <t>Met</t>
  </si>
  <si>
    <t>Banca Nazionale del Lavoro</t>
  </si>
  <si>
    <t>Junio</t>
  </si>
  <si>
    <t>Corrientes</t>
  </si>
  <si>
    <t>Nacion</t>
  </si>
  <si>
    <t>Banco de Balcarce</t>
  </si>
  <si>
    <t>Julio</t>
  </si>
  <si>
    <t>Entre Ríos</t>
  </si>
  <si>
    <t>Orígenes</t>
  </si>
  <si>
    <t>Banco de Corrientes</t>
  </si>
  <si>
    <t>Agosto</t>
  </si>
  <si>
    <t>Formosa</t>
  </si>
  <si>
    <t>Previsol</t>
  </si>
  <si>
    <t>Banco de Entre Rios</t>
  </si>
  <si>
    <t>Septiembre</t>
  </si>
  <si>
    <t>Jujuy</t>
  </si>
  <si>
    <t>Profesión + Auge</t>
  </si>
  <si>
    <t>Banco de Formosa</t>
  </si>
  <si>
    <t>Octubre</t>
  </si>
  <si>
    <t>La Pampa</t>
  </si>
  <si>
    <t>Prorenta</t>
  </si>
  <si>
    <t>Banco de Inversion Y Comercio Exterior</t>
  </si>
  <si>
    <t>Noviembre</t>
  </si>
  <si>
    <t xml:space="preserve">La Rioja </t>
  </si>
  <si>
    <t>Siembra</t>
  </si>
  <si>
    <t>Banco de la Edificadora de Olavarria</t>
  </si>
  <si>
    <t>Diciembre</t>
  </si>
  <si>
    <t>Mendoza</t>
  </si>
  <si>
    <t>Unidos</t>
  </si>
  <si>
    <t>Banco de La Pampa</t>
  </si>
  <si>
    <t>Misiones</t>
  </si>
  <si>
    <t>Banco de la Rep. Oriental del Uruguay</t>
  </si>
  <si>
    <t>Neuquen</t>
  </si>
  <si>
    <t>Banco de San Juan</t>
  </si>
  <si>
    <t>Río Negro</t>
  </si>
  <si>
    <t>Banco de Santa Cruz</t>
  </si>
  <si>
    <t>Salta</t>
  </si>
  <si>
    <t>Banco de Santiago del Estero</t>
  </si>
  <si>
    <t>San Juan</t>
  </si>
  <si>
    <t>Banco de Servicios Financieros</t>
  </si>
  <si>
    <t>San Luis</t>
  </si>
  <si>
    <t>Banco de Valores</t>
  </si>
  <si>
    <t>Antigüedad</t>
  </si>
  <si>
    <t>Santa Cruz</t>
  </si>
  <si>
    <t>Banco del Chubut</t>
  </si>
  <si>
    <t>Desde</t>
  </si>
  <si>
    <t>Hasta</t>
  </si>
  <si>
    <t>%</t>
  </si>
  <si>
    <t>Santa Fe</t>
  </si>
  <si>
    <t>Banco del Sol</t>
  </si>
  <si>
    <t>Santiago del Estero</t>
  </si>
  <si>
    <t>Banco del Tucuman</t>
  </si>
  <si>
    <t>Tierra del Fuego</t>
  </si>
  <si>
    <t>Banco Do Brasil</t>
  </si>
  <si>
    <t>Tucumán</t>
  </si>
  <si>
    <t xml:space="preserve">Banco Do Estado de Sao Paulo </t>
  </si>
  <si>
    <t>Banco Empresario de Tucuman</t>
  </si>
  <si>
    <t>Banco Europeo Para America Latina</t>
  </si>
  <si>
    <t xml:space="preserve">Banco Exterior de America </t>
  </si>
  <si>
    <t xml:space="preserve">Banco Finansur </t>
  </si>
  <si>
    <t xml:space="preserve">Banco General de Negocios </t>
  </si>
  <si>
    <t>Banco Julio</t>
  </si>
  <si>
    <t xml:space="preserve">Banco Macro </t>
  </si>
  <si>
    <t xml:space="preserve">Banco Mariva </t>
  </si>
  <si>
    <t xml:space="preserve">Banco Mercurio </t>
  </si>
  <si>
    <t>Banco Municipal de La Plata</t>
  </si>
  <si>
    <t>Banco Municipal de Rosario</t>
  </si>
  <si>
    <t xml:space="preserve">Banco Patagonia </t>
  </si>
  <si>
    <t xml:space="preserve">Banco Piano </t>
  </si>
  <si>
    <t>Banco Privado de Inversiones</t>
  </si>
  <si>
    <t>Banco Provincia de Tierra del Fuego</t>
  </si>
  <si>
    <t xml:space="preserve">Banco Regional de Cuyo </t>
  </si>
  <si>
    <t xml:space="preserve">Banco Rio de La Plata </t>
  </si>
  <si>
    <t xml:space="preserve">Banco Roela </t>
  </si>
  <si>
    <t xml:space="preserve">Banco Saenz </t>
  </si>
  <si>
    <t>Banco San Luis</t>
  </si>
  <si>
    <t>Banco San Miguel de Tucuman</t>
  </si>
  <si>
    <t xml:space="preserve">Banco Societe Generale </t>
  </si>
  <si>
    <t xml:space="preserve">Banco Sudameris Argentina </t>
  </si>
  <si>
    <t xml:space="preserve">Banco Urquijo, </t>
  </si>
  <si>
    <t xml:space="preserve">Banco Velox </t>
  </si>
  <si>
    <t>Bank Of America</t>
  </si>
  <si>
    <t>Bankboston</t>
  </si>
  <si>
    <t>Bansud</t>
  </si>
  <si>
    <t xml:space="preserve">Bbva Banco Frances </t>
  </si>
  <si>
    <t>Bisel</t>
  </si>
  <si>
    <t>Bnp Paribas</t>
  </si>
  <si>
    <t>Bradesco Argentina</t>
  </si>
  <si>
    <t>Cetelem Argentina</t>
  </si>
  <si>
    <t>Citibank N.A.</t>
  </si>
  <si>
    <t>Ciudad de Buenos Aires</t>
  </si>
  <si>
    <t>Cmf</t>
  </si>
  <si>
    <t>Cofidis</t>
  </si>
  <si>
    <t>Comafi</t>
  </si>
  <si>
    <t>Credicoop</t>
  </si>
  <si>
    <t xml:space="preserve">Deutsche Bank </t>
  </si>
  <si>
    <t>Galicia</t>
  </si>
  <si>
    <t xml:space="preserve">Heller Financial Bank </t>
  </si>
  <si>
    <t xml:space="preserve">Hipotecario </t>
  </si>
  <si>
    <t xml:space="preserve">Hsbc Bank Argentina </t>
  </si>
  <si>
    <t>Ing Bank N.V.</t>
  </si>
  <si>
    <t xml:space="preserve">Itau Buen Ayre </t>
  </si>
  <si>
    <t>Kookmin Bank</t>
  </si>
  <si>
    <t xml:space="preserve">Liniers Sudamericano </t>
  </si>
  <si>
    <t>Lloyds Tsb Bank Plc</t>
  </si>
  <si>
    <t>Mba Banco de Inversiones</t>
  </si>
  <si>
    <t>Nuevo Banco de La Rioja</t>
  </si>
  <si>
    <t xml:space="preserve">Nuevo Banco de Santa Fe </t>
  </si>
  <si>
    <t>Nuevo Banco del Chaco</t>
  </si>
  <si>
    <t xml:space="preserve">Nuevo Banco Industrial de Azul </t>
  </si>
  <si>
    <t>Provincia de Buenos Aires</t>
  </si>
  <si>
    <t>Provincia de Cordoba</t>
  </si>
  <si>
    <t>Provincia del Neuquen</t>
  </si>
  <si>
    <t>Renault Credit International  Banque</t>
  </si>
  <si>
    <t xml:space="preserve">Scotiabank Quilmes </t>
  </si>
  <si>
    <t xml:space="preserve">Suquia </t>
  </si>
  <si>
    <t>The Bank Of Tokyo-Mitsubishi, Ltd.</t>
  </si>
  <si>
    <t>The Chase Manhattan Bank</t>
  </si>
  <si>
    <t>Liquidación de Sueldos Mensuales</t>
  </si>
  <si>
    <t>Datos del Empleador</t>
  </si>
  <si>
    <t>Razón social</t>
  </si>
  <si>
    <t>CARETTA MARIA DEL CARMEN</t>
  </si>
  <si>
    <t>Cuit</t>
  </si>
  <si>
    <t>Domicilio Legal</t>
  </si>
  <si>
    <t>CMTE RODRIGUEZ Nº 147</t>
  </si>
  <si>
    <t>Localidad</t>
  </si>
  <si>
    <t>MALARGUE</t>
  </si>
  <si>
    <t>Código postal</t>
  </si>
  <si>
    <t>Domicilio de pago</t>
  </si>
  <si>
    <t>Malargue, Mza</t>
  </si>
  <si>
    <t>Nómina de Empleados</t>
  </si>
  <si>
    <t>Sueldo Base</t>
  </si>
  <si>
    <t>Nro. Legajo</t>
  </si>
  <si>
    <t>Fecha de Ingreso</t>
  </si>
  <si>
    <t>Apellido y Nombre</t>
  </si>
  <si>
    <t>CUIL</t>
  </si>
  <si>
    <t>Sueldo Básico</t>
  </si>
  <si>
    <t>Sueldo Básico Exacto</t>
  </si>
  <si>
    <t>Ad. No Rem. Exacto</t>
  </si>
  <si>
    <t>Dias trabajados</t>
  </si>
  <si>
    <t>Otro Exacto</t>
  </si>
  <si>
    <t>Nro.Caja de Ahorro</t>
  </si>
  <si>
    <t>Calificación Profesional</t>
  </si>
  <si>
    <t>Tarea Cumplida</t>
  </si>
  <si>
    <t>Nombre AFJP</t>
  </si>
  <si>
    <t>ARANIBAR CLAUDIA CRISTINA</t>
  </si>
  <si>
    <t>27-23067512-6</t>
  </si>
  <si>
    <t>VENDEDOR</t>
  </si>
  <si>
    <t>Categ. B</t>
  </si>
  <si>
    <t>SIPA</t>
  </si>
  <si>
    <t>QUIROGA VANINA LEONELA</t>
  </si>
  <si>
    <t>27-34642729-4</t>
  </si>
  <si>
    <t>Carga de Datos</t>
  </si>
  <si>
    <t>Período</t>
  </si>
  <si>
    <t>Feriados Trabajados</t>
  </si>
  <si>
    <t>Ausentismo</t>
  </si>
  <si>
    <t>Licencia p/enfermedad</t>
  </si>
  <si>
    <t>Comp. Serv. Art. 11.6</t>
  </si>
  <si>
    <t>Adic. Alimentación</t>
  </si>
  <si>
    <t>Presentismo</t>
  </si>
  <si>
    <t>Falla Caja</t>
  </si>
  <si>
    <t>Adic. Rem. % 5</t>
  </si>
  <si>
    <t>Adic. Rem. % 6</t>
  </si>
  <si>
    <t>Horas Extras. 50%</t>
  </si>
  <si>
    <t>Horas Extras 100%</t>
  </si>
  <si>
    <t>Liquidación</t>
  </si>
  <si>
    <t>Sueldo Exacto</t>
  </si>
  <si>
    <t>Cant. Días</t>
  </si>
  <si>
    <t>Basico Dias Normales</t>
  </si>
  <si>
    <t>Importe</t>
  </si>
  <si>
    <t>Acuerdo Salarial 2008</t>
  </si>
  <si>
    <t>Acuerdo Salarial 2009</t>
  </si>
  <si>
    <t>Acuerdo Salarial 2010</t>
  </si>
  <si>
    <t>Presentismo Acuerdos No Rem.</t>
  </si>
  <si>
    <t>Adic. Fijo 5</t>
  </si>
  <si>
    <t>Adic. Fijo 6</t>
  </si>
  <si>
    <t>hs</t>
  </si>
  <si>
    <t>$/hora</t>
  </si>
  <si>
    <t>Hs Extras 50%</t>
  </si>
  <si>
    <t>Hs Extras 100%</t>
  </si>
  <si>
    <t xml:space="preserve"> SAC 1° SEMES 12 PROP.</t>
  </si>
  <si>
    <t>Vacaciones 2008</t>
  </si>
  <si>
    <t>días lab</t>
  </si>
  <si>
    <t>Sueldo Bruto sin SAC ni VAC</t>
  </si>
  <si>
    <t>|</t>
  </si>
  <si>
    <t>Retenciones y no Remunerativos</t>
  </si>
  <si>
    <t>Jubilación</t>
  </si>
  <si>
    <t>Ley 19032</t>
  </si>
  <si>
    <t>Obra Social</t>
  </si>
  <si>
    <t>Adherente Os</t>
  </si>
  <si>
    <t>Sindicato UEC</t>
  </si>
  <si>
    <t>Ret. ANR s/ O.S.</t>
  </si>
  <si>
    <t>Ret. ANR s/ SIND. UEC</t>
  </si>
  <si>
    <t xml:space="preserve"> FAECyS</t>
  </si>
  <si>
    <t>Ret. ANR FAECyS</t>
  </si>
  <si>
    <t>S</t>
  </si>
  <si>
    <t>Ret. Fija 4</t>
  </si>
  <si>
    <t>Asignaciones no remunerativas</t>
  </si>
  <si>
    <t>Leg.</t>
  </si>
  <si>
    <t>Nombre Competo</t>
  </si>
  <si>
    <t xml:space="preserve">% </t>
  </si>
  <si>
    <t xml:space="preserve">Anticipos </t>
  </si>
  <si>
    <t>Anticipo SAC 2º SEM.</t>
  </si>
  <si>
    <t>Obra Social Acuerd. Jun./11</t>
  </si>
  <si>
    <t>Subtotal Descuentos</t>
  </si>
  <si>
    <t>Acuerdos Junio 2011</t>
  </si>
  <si>
    <t xml:space="preserve">Inc. Al basico </t>
  </si>
  <si>
    <t>Vacaciones no Gozadas</t>
  </si>
  <si>
    <t>SAC S/ VNG</t>
  </si>
  <si>
    <t>Acuerdo Junio 2010</t>
  </si>
  <si>
    <t>Adic. No Rem 6</t>
  </si>
  <si>
    <t>Redondeo</t>
  </si>
  <si>
    <t>Subtotal no Rem.</t>
  </si>
  <si>
    <t>Sueldo Neto Total exacto</t>
  </si>
  <si>
    <t>Sueldo Neto Total</t>
  </si>
  <si>
    <t>Sindicato</t>
  </si>
  <si>
    <t>a1</t>
  </si>
  <si>
    <t>a2</t>
  </si>
  <si>
    <t>a3</t>
  </si>
  <si>
    <t>a4</t>
  </si>
  <si>
    <t>Sueldo Total</t>
  </si>
  <si>
    <t>Recibo de Sueldos</t>
  </si>
  <si>
    <t>Original para el Empleado</t>
  </si>
  <si>
    <t>Legajo N°</t>
  </si>
  <si>
    <t>Nombre y Apellido</t>
  </si>
  <si>
    <t>Caja de Ahorro N°</t>
  </si>
  <si>
    <t>Remuneración Básica</t>
  </si>
  <si>
    <t>Período depositado</t>
  </si>
  <si>
    <t>Banco de depósito</t>
  </si>
  <si>
    <t>Fecha de último deposito</t>
  </si>
  <si>
    <t>SEPSA PAGO FACIL</t>
  </si>
  <si>
    <t>Período Abonado</t>
  </si>
  <si>
    <t>Domicilio de Pago</t>
  </si>
  <si>
    <t>Fecha de Pago</t>
  </si>
  <si>
    <t>Tarea Desempeñada</t>
  </si>
  <si>
    <t>Descripción de Conceptos</t>
  </si>
  <si>
    <t>Unidades</t>
  </si>
  <si>
    <t>Remuneraciones</t>
  </si>
  <si>
    <t>Descuentos</t>
  </si>
  <si>
    <t>Conceptos no remunerativos</t>
  </si>
  <si>
    <t>Omicron System S.A.</t>
  </si>
  <si>
    <t>Observación:</t>
  </si>
  <si>
    <t>Contrato temporada CCT 130/75</t>
  </si>
  <si>
    <t>Subtotal</t>
  </si>
  <si>
    <t>Total neto</t>
  </si>
  <si>
    <t>Recibí conforme la suma de Pesos:</t>
  </si>
  <si>
    <t>Un  mil ochocientos treinta y ocho con 0/100</t>
  </si>
  <si>
    <t>En concepto de mis haberes correspondientes al periodo arriba indicado y según la presente liquidación, dejando constancia de haber recibido un duplicado de este recibo.</t>
  </si>
  <si>
    <t>Recibo: Salario Anual Complementario</t>
  </si>
  <si>
    <t>Duplicado del Empleador</t>
  </si>
  <si>
    <t>Firma Empleador</t>
  </si>
  <si>
    <t>Exacto</t>
  </si>
  <si>
    <t>Un mil trescientos noventa y nueve con 0/100</t>
  </si>
  <si>
    <t>Recibo: Vacaciones</t>
  </si>
  <si>
    <t>Novecientos treinta y dos con 0/100</t>
  </si>
  <si>
    <t>Reporte</t>
  </si>
  <si>
    <t>N° Legajo</t>
  </si>
  <si>
    <t>N° de Caja de Ahorro</t>
  </si>
  <si>
    <t>SB + SAC + VAC</t>
  </si>
  <si>
    <t>Total Descuentos</t>
  </si>
  <si>
    <t>Total Conc. no Remun.</t>
  </si>
  <si>
    <t>Sueldo Neto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</si>
</sst>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$&quot;\ * #,##0.00_ ;_ &quot;$&quot;\ * \-#,##0.00_ ;_ &quot;$&quot;\ * &quot;-&quot;??_ ;_ @_ "/>
    <numFmt numFmtId="178" formatCode="_ * #,##0_ ;_ * \-#,##0_ ;_ * &quot;-&quot;_ ;_ @_ "/>
    <numFmt numFmtId="179" formatCode="_ &quot;$&quot;\ * #,##0_ ;_ &quot;$&quot;\ * \-#,##0_ ;_ &quot;$&quot;\ * &quot;-&quot;_ ;_ @_ "/>
    <numFmt numFmtId="180" formatCode="mmmm/yyyy"/>
    <numFmt numFmtId="181" formatCode="General\ &quot;días&quot;"/>
    <numFmt numFmtId="182" formatCode="&quot;$&quot;\ #,##0.00"/>
    <numFmt numFmtId="183" formatCode="General\ &quot;Hs.&quot;"/>
  </numFmts>
  <fonts count="48">
    <font>
      <sz val="10"/>
      <name val="Arial"/>
      <charset val="0"/>
    </font>
    <font>
      <sz val="20"/>
      <color indexed="56"/>
      <name val="Tahoma"/>
      <family val="2"/>
      <charset val="0"/>
    </font>
    <font>
      <sz val="10"/>
      <name val="Tahoma"/>
      <family val="2"/>
      <charset val="0"/>
    </font>
    <font>
      <sz val="9"/>
      <name val="Tahoma"/>
      <family val="2"/>
      <charset val="0"/>
    </font>
    <font>
      <sz val="9"/>
      <name val="Verdana"/>
      <family val="2"/>
      <charset val="0"/>
    </font>
    <font>
      <sz val="8"/>
      <name val="Verdana"/>
      <family val="2"/>
      <charset val="0"/>
    </font>
    <font>
      <sz val="16"/>
      <color indexed="9"/>
      <name val="Tahoma"/>
      <family val="2"/>
      <charset val="0"/>
    </font>
    <font>
      <b/>
      <sz val="9"/>
      <name val="Verdana"/>
      <family val="2"/>
      <charset val="0"/>
    </font>
    <font>
      <b/>
      <sz val="8"/>
      <name val="Verdana"/>
      <family val="2"/>
      <charset val="0"/>
    </font>
    <font>
      <sz val="16"/>
      <name val="Tahoma"/>
      <family val="2"/>
      <charset val="0"/>
    </font>
    <font>
      <b/>
      <sz val="8"/>
      <name val="Tahoma"/>
      <family val="2"/>
      <charset val="0"/>
    </font>
    <font>
      <b/>
      <sz val="10"/>
      <name val="Tahoma"/>
      <family val="2"/>
      <charset val="0"/>
    </font>
    <font>
      <sz val="8"/>
      <name val="Tahoma"/>
      <family val="2"/>
      <charset val="0"/>
    </font>
    <font>
      <sz val="10"/>
      <color indexed="9"/>
      <name val="Tahoma"/>
      <family val="2"/>
      <charset val="0"/>
    </font>
    <font>
      <b/>
      <sz val="9"/>
      <name val="Tahoma"/>
      <family val="2"/>
      <charset val="0"/>
    </font>
    <font>
      <b/>
      <sz val="16"/>
      <name val="Tahoma"/>
      <family val="2"/>
      <charset val="0"/>
    </font>
    <font>
      <sz val="8"/>
      <color indexed="46"/>
      <name val="Tahoma"/>
      <family val="2"/>
      <charset val="0"/>
    </font>
    <font>
      <sz val="16"/>
      <color indexed="9"/>
      <name val="Verdana"/>
      <family val="2"/>
      <charset val="0"/>
    </font>
    <font>
      <b/>
      <sz val="8"/>
      <name val="Arial"/>
      <family val="2"/>
      <charset val="0"/>
    </font>
    <font>
      <b/>
      <sz val="8"/>
      <color indexed="9"/>
      <name val="Verdana"/>
      <family val="2"/>
      <charset val="0"/>
    </font>
    <font>
      <sz val="8"/>
      <color indexed="9"/>
      <name val="Verdana"/>
      <family val="2"/>
      <charset val="0"/>
    </font>
    <font>
      <sz val="8"/>
      <color indexed="10"/>
      <name val="Verdana"/>
      <family val="2"/>
      <charset val="0"/>
    </font>
    <font>
      <b/>
      <sz val="8"/>
      <color indexed="9"/>
      <name val="Tahoma"/>
      <family val="2"/>
      <charset val="0"/>
    </font>
    <font>
      <sz val="14"/>
      <name val="Arial"/>
      <family val="2"/>
      <charset val="0"/>
    </font>
    <font>
      <i/>
      <sz val="14"/>
      <color indexed="18"/>
      <name val="Arial"/>
      <family val="2"/>
      <charset val="0"/>
    </font>
    <font>
      <b/>
      <i/>
      <sz val="10"/>
      <name val="Arial"/>
      <family val="2"/>
      <charset val="0"/>
    </font>
    <font>
      <sz val="18"/>
      <color indexed="56"/>
      <name val="Tahoma"/>
      <family val="2"/>
      <charset val="0"/>
    </font>
    <font>
      <u/>
      <sz val="10"/>
      <color indexed="12"/>
      <name val="Arial"/>
      <charset val="0"/>
    </font>
    <font>
      <u/>
      <sz val="10"/>
      <color indexed="36"/>
      <name val="Arial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sz val="8"/>
      <name val="Tahoma"/>
      <charset val="0"/>
    </font>
    <font>
      <b/>
      <sz val="8"/>
      <name val="Tahoma"/>
      <charset val="0"/>
    </font>
  </fonts>
  <fills count="4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3">
    <border>
      <left/>
      <right/>
      <top/>
      <bottom/>
      <diagonal/>
    </border>
    <border>
      <left style="thin">
        <color indexed="41"/>
      </left>
      <right/>
      <top style="thin">
        <color indexed="41"/>
      </top>
      <bottom/>
      <diagonal/>
    </border>
    <border>
      <left/>
      <right/>
      <top style="thin">
        <color indexed="41"/>
      </top>
      <bottom/>
      <diagonal/>
    </border>
    <border>
      <left/>
      <right style="thin">
        <color indexed="38"/>
      </right>
      <top style="thin">
        <color indexed="41"/>
      </top>
      <bottom/>
      <diagonal/>
    </border>
    <border>
      <left style="thin">
        <color indexed="41"/>
      </left>
      <right/>
      <top/>
      <bottom/>
      <diagonal/>
    </border>
    <border>
      <left style="thin">
        <color indexed="56"/>
      </left>
      <right/>
      <top style="thin">
        <color indexed="56"/>
      </top>
      <bottom style="thin">
        <color indexed="9"/>
      </bottom>
      <diagonal/>
    </border>
    <border>
      <left/>
      <right/>
      <top style="thin">
        <color indexed="56"/>
      </top>
      <bottom style="thin">
        <color indexed="9"/>
      </bottom>
      <diagonal/>
    </border>
    <border>
      <left/>
      <right style="thin">
        <color indexed="9"/>
      </right>
      <top style="thin">
        <color indexed="56"/>
      </top>
      <bottom style="thin">
        <color indexed="9"/>
      </bottom>
      <diagonal/>
    </border>
    <border>
      <left/>
      <right style="thin">
        <color indexed="38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41"/>
      </left>
      <right/>
      <top/>
      <bottom style="thin">
        <color indexed="38"/>
      </bottom>
      <diagonal/>
    </border>
    <border>
      <left/>
      <right/>
      <top/>
      <bottom style="thin">
        <color indexed="38"/>
      </bottom>
      <diagonal/>
    </border>
    <border>
      <left/>
      <right style="thin">
        <color indexed="38"/>
      </right>
      <top/>
      <bottom style="thin">
        <color indexed="3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/>
      <right style="medium">
        <color indexed="22"/>
      </right>
      <top style="medium">
        <color indexed="22"/>
      </top>
      <bottom/>
      <diagonal/>
    </border>
    <border>
      <left style="medium">
        <color indexed="22"/>
      </left>
      <right/>
      <top/>
      <bottom/>
      <diagonal/>
    </border>
    <border>
      <left/>
      <right style="medium">
        <color indexed="22"/>
      </right>
      <top/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22"/>
      </left>
      <right/>
      <top/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thin">
        <color indexed="55"/>
      </bottom>
      <diagonal/>
    </border>
    <border>
      <left/>
      <right/>
      <top style="medium">
        <color indexed="22"/>
      </top>
      <bottom style="thin">
        <color indexed="55"/>
      </bottom>
      <diagonal/>
    </border>
    <border>
      <left/>
      <right style="thin">
        <color indexed="22"/>
      </right>
      <top style="medium">
        <color indexed="22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medium">
        <color indexed="22"/>
      </top>
      <bottom/>
      <diagonal/>
    </border>
    <border>
      <left style="thin">
        <color indexed="22"/>
      </left>
      <right/>
      <top style="medium">
        <color indexed="22"/>
      </top>
      <bottom/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 style="thin">
        <color indexed="22"/>
      </right>
      <top style="thin">
        <color indexed="55"/>
      </top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55"/>
      </top>
      <bottom style="medium">
        <color indexed="22"/>
      </bottom>
      <diagonal/>
    </border>
    <border>
      <left style="thin">
        <color indexed="22"/>
      </left>
      <right/>
      <top style="thin">
        <color indexed="55"/>
      </top>
      <bottom style="medium">
        <color indexed="22"/>
      </bottom>
      <diagonal/>
    </border>
    <border>
      <left/>
      <right style="thin">
        <color indexed="22"/>
      </right>
      <top style="medium">
        <color indexed="22"/>
      </top>
      <bottom/>
      <diagonal/>
    </border>
    <border>
      <left style="thin">
        <color indexed="22"/>
      </left>
      <right/>
      <top style="medium">
        <color indexed="22"/>
      </top>
      <bottom style="thin">
        <color indexed="55"/>
      </bottom>
      <diagonal/>
    </border>
    <border>
      <left/>
      <right style="medium">
        <color indexed="22"/>
      </right>
      <top style="medium">
        <color indexed="22"/>
      </top>
      <bottom style="thin">
        <color indexed="55"/>
      </bottom>
      <diagonal/>
    </border>
    <border>
      <left style="medium">
        <color indexed="22"/>
      </left>
      <right style="thin">
        <color indexed="55"/>
      </right>
      <top style="thin">
        <color indexed="55"/>
      </top>
      <bottom style="medium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22"/>
      </bottom>
      <diagonal/>
    </border>
    <border>
      <left style="thin">
        <color indexed="55"/>
      </left>
      <right/>
      <top style="thin">
        <color indexed="55"/>
      </top>
      <bottom style="medium">
        <color indexed="22"/>
      </bottom>
      <diagonal/>
    </border>
    <border>
      <left/>
      <right style="medium">
        <color indexed="22"/>
      </right>
      <top style="thin">
        <color indexed="55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thin">
        <color indexed="22"/>
      </right>
      <top style="medium">
        <color indexed="22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medium">
        <color indexed="22"/>
      </top>
      <bottom style="thin">
        <color indexed="55"/>
      </bottom>
      <diagonal/>
    </border>
    <border>
      <left style="thin">
        <color indexed="22"/>
      </left>
      <right style="medium">
        <color indexed="22"/>
      </right>
      <top style="medium">
        <color indexed="22"/>
      </top>
      <bottom style="thin">
        <color indexed="55"/>
      </bottom>
      <diagonal/>
    </border>
    <border>
      <left style="medium">
        <color indexed="22"/>
      </left>
      <right style="thin">
        <color indexed="22"/>
      </right>
      <top style="thin">
        <color indexed="55"/>
      </top>
      <bottom/>
      <diagonal/>
    </border>
    <border>
      <left style="thin">
        <color indexed="22"/>
      </left>
      <right style="thin">
        <color indexed="22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thin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medium">
        <color indexed="22"/>
      </left>
      <right style="medium">
        <color indexed="55"/>
      </right>
      <top/>
      <bottom style="medium">
        <color indexed="22"/>
      </bottom>
      <diagonal/>
    </border>
    <border>
      <left style="medium">
        <color indexed="55"/>
      </left>
      <right/>
      <top style="medium">
        <color indexed="55"/>
      </top>
      <bottom style="medium">
        <color indexed="22"/>
      </bottom>
      <diagonal/>
    </border>
    <border>
      <left/>
      <right/>
      <top style="medium">
        <color indexed="55"/>
      </top>
      <bottom style="medium">
        <color indexed="22"/>
      </bottom>
      <diagonal/>
    </border>
    <border>
      <left/>
      <right style="medium">
        <color indexed="22"/>
      </right>
      <top style="medium">
        <color indexed="55"/>
      </top>
      <bottom style="medium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/>
      <right/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22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 style="medium">
        <color indexed="22"/>
      </bottom>
      <diagonal/>
    </border>
    <border>
      <left/>
      <right style="thin">
        <color indexed="55"/>
      </right>
      <top style="thin">
        <color indexed="55"/>
      </top>
      <bottom style="medium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55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medium">
        <color indexed="55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double">
        <color indexed="9"/>
      </left>
      <right/>
      <top style="double">
        <color indexed="9"/>
      </top>
      <bottom/>
      <diagonal/>
    </border>
    <border>
      <left/>
      <right/>
      <top style="double">
        <color indexed="9"/>
      </top>
      <bottom style="double">
        <color indexed="9"/>
      </bottom>
      <diagonal/>
    </border>
    <border>
      <left/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22"/>
      </top>
      <bottom style="thin">
        <color indexed="22"/>
      </bottom>
      <diagonal/>
    </border>
    <border>
      <left style="double">
        <color indexed="9"/>
      </left>
      <right/>
      <top/>
      <bottom style="double">
        <color indexed="9"/>
      </bottom>
      <diagonal/>
    </border>
    <border>
      <left/>
      <right/>
      <top/>
      <bottom style="double">
        <color indexed="9"/>
      </bottom>
      <diagonal/>
    </border>
    <border>
      <left/>
      <right style="double">
        <color indexed="9"/>
      </right>
      <top/>
      <bottom style="double">
        <color indexed="9"/>
      </bottom>
      <diagonal/>
    </border>
    <border>
      <left style="thin">
        <color indexed="9"/>
      </left>
      <right/>
      <top/>
      <bottom style="medium">
        <color indexed="55"/>
      </bottom>
      <diagonal/>
    </border>
    <border>
      <left style="thin">
        <color indexed="56"/>
      </left>
      <right/>
      <top style="thin">
        <color indexed="56"/>
      </top>
      <bottom/>
      <diagonal/>
    </border>
    <border>
      <left/>
      <right/>
      <top style="thin">
        <color indexed="56"/>
      </top>
      <bottom/>
      <diagonal/>
    </border>
    <border>
      <left style="thin">
        <color indexed="9"/>
      </left>
      <right style="thin">
        <color indexed="38"/>
      </right>
      <top/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 style="thin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/>
      <diagonal/>
    </border>
    <border>
      <left style="thin">
        <color indexed="21"/>
      </left>
      <right style="thin">
        <color indexed="21"/>
      </right>
      <top/>
      <bottom/>
      <diagonal/>
    </border>
    <border>
      <left style="thin">
        <color indexed="49"/>
      </left>
      <right style="thin">
        <color indexed="49"/>
      </right>
      <top/>
      <bottom/>
      <diagonal/>
    </border>
    <border>
      <left style="thin">
        <color indexed="21"/>
      </left>
      <right style="thin">
        <color indexed="21"/>
      </right>
      <top/>
      <bottom style="thin">
        <color indexed="21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double">
        <color indexed="55"/>
      </left>
      <right style="double">
        <color indexed="9"/>
      </right>
      <top style="double">
        <color indexed="55"/>
      </top>
      <bottom/>
      <diagonal/>
    </border>
    <border>
      <left style="double">
        <color indexed="55"/>
      </left>
      <right style="double">
        <color indexed="9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0" fillId="12" borderId="114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15" applyNumberFormat="0" applyFill="0" applyAlignment="0" applyProtection="0"/>
    <xf numFmtId="0" fontId="33" fillId="0" borderId="116" applyNumberFormat="0" applyFill="0" applyAlignment="0" applyProtection="0"/>
    <xf numFmtId="0" fontId="34" fillId="0" borderId="117" applyNumberFormat="0" applyFill="0" applyAlignment="0" applyProtection="0"/>
    <xf numFmtId="0" fontId="34" fillId="0" borderId="0" applyNumberFormat="0" applyFill="0" applyBorder="0" applyAlignment="0" applyProtection="0"/>
    <xf numFmtId="0" fontId="35" fillId="13" borderId="118" applyNumberFormat="0" applyAlignment="0" applyProtection="0"/>
    <xf numFmtId="0" fontId="36" fillId="14" borderId="119" applyNumberFormat="0" applyAlignment="0" applyProtection="0"/>
    <xf numFmtId="0" fontId="37" fillId="14" borderId="118" applyNumberFormat="0" applyAlignment="0" applyProtection="0"/>
    <xf numFmtId="0" fontId="38" fillId="15" borderId="120" applyNumberFormat="0" applyAlignment="0" applyProtection="0"/>
    <xf numFmtId="0" fontId="39" fillId="0" borderId="121" applyNumberFormat="0" applyFill="0" applyAlignment="0" applyProtection="0"/>
    <xf numFmtId="0" fontId="40" fillId="0" borderId="122" applyNumberFormat="0" applyFill="0" applyAlignment="0" applyProtection="0"/>
    <xf numFmtId="0" fontId="41" fillId="16" borderId="0" applyNumberFormat="0" applyBorder="0" applyAlignment="0" applyProtection="0"/>
    <xf numFmtId="0" fontId="42" fillId="17" borderId="0" applyNumberFormat="0" applyBorder="0" applyAlignment="0" applyProtection="0"/>
    <xf numFmtId="0" fontId="43" fillId="18" borderId="0" applyNumberFormat="0" applyBorder="0" applyAlignment="0" applyProtection="0"/>
    <xf numFmtId="0" fontId="44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29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45" fillId="32" borderId="0" applyNumberFormat="0" applyBorder="0" applyAlignment="0" applyProtection="0"/>
    <xf numFmtId="0" fontId="45" fillId="33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7" borderId="0" applyNumberFormat="0" applyBorder="0" applyAlignment="0" applyProtection="0"/>
    <xf numFmtId="0" fontId="44" fillId="38" borderId="0" applyNumberFormat="0" applyBorder="0" applyAlignment="0" applyProtection="0"/>
    <xf numFmtId="0" fontId="44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1" borderId="0" applyNumberFormat="0" applyBorder="0" applyAlignment="0" applyProtection="0"/>
    <xf numFmtId="0" fontId="44" fillId="42" borderId="0" applyNumberFormat="0" applyBorder="0" applyAlignment="0" applyProtection="0"/>
    <xf numFmtId="0" fontId="0" fillId="0" borderId="0"/>
  </cellStyleXfs>
  <cellXfs count="308">
    <xf numFmtId="0" fontId="0" fillId="0" borderId="0" xfId="0"/>
    <xf numFmtId="0" fontId="0" fillId="2" borderId="0" xfId="49" applyFill="1"/>
    <xf numFmtId="0" fontId="0" fillId="3" borderId="1" xfId="49" applyFill="1" applyBorder="1"/>
    <xf numFmtId="0" fontId="0" fillId="3" borderId="2" xfId="49" applyFill="1" applyBorder="1"/>
    <xf numFmtId="0" fontId="0" fillId="3" borderId="3" xfId="49" applyFill="1" applyBorder="1"/>
    <xf numFmtId="0" fontId="0" fillId="3" borderId="4" xfId="49" applyFill="1" applyBorder="1"/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0" fillId="3" borderId="8" xfId="49" applyFill="1" applyBorder="1"/>
    <xf numFmtId="0" fontId="0" fillId="3" borderId="0" xfId="49" applyFill="1" applyBorder="1"/>
    <xf numFmtId="0" fontId="0" fillId="3" borderId="9" xfId="49" applyFill="1" applyBorder="1"/>
    <xf numFmtId="0" fontId="0" fillId="2" borderId="0" xfId="49" applyFill="1" applyBorder="1" applyAlignment="1"/>
    <xf numFmtId="0" fontId="2" fillId="2" borderId="0" xfId="0" applyFont="1" applyFill="1" applyBorder="1" applyAlignment="1"/>
    <xf numFmtId="0" fontId="0" fillId="3" borderId="10" xfId="49" applyFill="1" applyBorder="1"/>
    <xf numFmtId="0" fontId="0" fillId="3" borderId="11" xfId="49" applyFill="1" applyBorder="1"/>
    <xf numFmtId="0" fontId="0" fillId="3" borderId="12" xfId="49" applyFill="1" applyBorder="1"/>
    <xf numFmtId="0" fontId="0" fillId="3" borderId="13" xfId="49" applyFill="1" applyBorder="1"/>
    <xf numFmtId="0" fontId="3" fillId="5" borderId="0" xfId="0" applyFont="1" applyFill="1" applyProtection="1"/>
    <xf numFmtId="0" fontId="3" fillId="6" borderId="0" xfId="0" applyFont="1" applyFill="1" applyProtection="1"/>
    <xf numFmtId="0" fontId="4" fillId="0" borderId="0" xfId="0" applyFont="1" applyFill="1" applyProtection="1"/>
    <xf numFmtId="0" fontId="4" fillId="0" borderId="0" xfId="0" applyFont="1" applyProtection="1"/>
    <xf numFmtId="0" fontId="4" fillId="0" borderId="0" xfId="0" applyNumberFormat="1" applyFont="1" applyProtection="1"/>
    <xf numFmtId="0" fontId="5" fillId="7" borderId="0" xfId="0" applyFont="1" applyFill="1" applyProtection="1">
      <protection locked="0"/>
    </xf>
    <xf numFmtId="10" fontId="5" fillId="7" borderId="0" xfId="3" applyNumberFormat="1" applyFont="1" applyFill="1" applyProtection="1">
      <protection locked="0"/>
    </xf>
    <xf numFmtId="0" fontId="5" fillId="7" borderId="0" xfId="0" applyFont="1" applyFill="1" applyProtection="1"/>
    <xf numFmtId="0" fontId="6" fillId="6" borderId="0" xfId="0" applyFont="1" applyFill="1" applyAlignment="1" applyProtection="1">
      <alignment horizontal="left"/>
    </xf>
    <xf numFmtId="0" fontId="7" fillId="0" borderId="0" xfId="0" applyFont="1" applyFill="1" applyAlignment="1" applyProtection="1">
      <alignment horizontal="center"/>
    </xf>
    <xf numFmtId="0" fontId="7" fillId="8" borderId="14" xfId="0" applyFont="1" applyFill="1" applyBorder="1" applyProtection="1"/>
    <xf numFmtId="17" fontId="0" fillId="0" borderId="14" xfId="0" applyNumberFormat="1" applyFill="1" applyBorder="1" applyProtection="1"/>
    <xf numFmtId="0" fontId="8" fillId="8" borderId="14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Protection="1"/>
    <xf numFmtId="177" fontId="4" fillId="0" borderId="14" xfId="2" applyFont="1" applyFill="1" applyBorder="1" applyProtection="1"/>
    <xf numFmtId="9" fontId="4" fillId="0" borderId="0" xfId="3" applyFont="1" applyFill="1" applyBorder="1" applyProtection="1"/>
    <xf numFmtId="4" fontId="4" fillId="0" borderId="0" xfId="0" applyNumberFormat="1" applyFont="1" applyFill="1" applyBorder="1" applyProtection="1"/>
    <xf numFmtId="0" fontId="4" fillId="0" borderId="0" xfId="0" applyFont="1" applyFill="1" applyBorder="1" applyProtection="1"/>
    <xf numFmtId="0" fontId="3" fillId="0" borderId="0" xfId="0" applyFont="1" applyFill="1" applyProtection="1"/>
    <xf numFmtId="0" fontId="2" fillId="0" borderId="0" xfId="0" applyFont="1" applyFill="1" applyProtection="1"/>
    <xf numFmtId="0" fontId="2" fillId="0" borderId="0" xfId="0" applyFont="1"/>
    <xf numFmtId="0" fontId="6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left"/>
    </xf>
    <xf numFmtId="0" fontId="2" fillId="0" borderId="15" xfId="0" applyFont="1" applyFill="1" applyBorder="1" applyProtection="1"/>
    <xf numFmtId="0" fontId="2" fillId="0" borderId="16" xfId="0" applyFont="1" applyFill="1" applyBorder="1" applyProtection="1"/>
    <xf numFmtId="0" fontId="2" fillId="0" borderId="17" xfId="0" applyFont="1" applyFill="1" applyBorder="1" applyProtection="1"/>
    <xf numFmtId="0" fontId="10" fillId="0" borderId="16" xfId="0" applyFont="1" applyFill="1" applyBorder="1" applyAlignment="1" applyProtection="1">
      <alignment horizontal="right"/>
    </xf>
    <xf numFmtId="0" fontId="2" fillId="0" borderId="18" xfId="0" applyFont="1" applyFill="1" applyBorder="1" applyProtection="1"/>
    <xf numFmtId="0" fontId="11" fillId="0" borderId="0" xfId="0" applyFont="1" applyFill="1" applyBorder="1" applyProtection="1"/>
    <xf numFmtId="0" fontId="2" fillId="0" borderId="0" xfId="0" applyFont="1" applyFill="1" applyBorder="1" applyProtection="1"/>
    <xf numFmtId="0" fontId="2" fillId="0" borderId="19" xfId="0" applyFont="1" applyFill="1" applyBorder="1" applyProtection="1"/>
    <xf numFmtId="0" fontId="10" fillId="0" borderId="20" xfId="0" applyFont="1" applyFill="1" applyBorder="1" applyAlignment="1" applyProtection="1">
      <alignment horizontal="center"/>
      <protection locked="0"/>
    </xf>
    <xf numFmtId="0" fontId="10" fillId="0" borderId="21" xfId="0" applyFont="1" applyFill="1" applyBorder="1" applyAlignment="1" applyProtection="1">
      <alignment horizontal="center"/>
      <protection locked="0"/>
    </xf>
    <xf numFmtId="0" fontId="11" fillId="0" borderId="18" xfId="0" applyFont="1" applyFill="1" applyBorder="1" applyAlignment="1" applyProtection="1">
      <alignment horizontal="right"/>
    </xf>
    <xf numFmtId="0" fontId="4" fillId="0" borderId="14" xfId="0" applyFont="1" applyFill="1" applyBorder="1" applyProtection="1">
      <protection locked="0"/>
    </xf>
    <xf numFmtId="0" fontId="2" fillId="0" borderId="22" xfId="0" applyFont="1" applyFill="1" applyBorder="1" applyProtection="1"/>
    <xf numFmtId="0" fontId="2" fillId="0" borderId="23" xfId="0" applyFont="1" applyFill="1" applyBorder="1" applyProtection="1"/>
    <xf numFmtId="0" fontId="2" fillId="0" borderId="24" xfId="0" applyFont="1" applyFill="1" applyBorder="1" applyProtection="1"/>
    <xf numFmtId="0" fontId="11" fillId="0" borderId="25" xfId="0" applyFont="1" applyFill="1" applyBorder="1" applyAlignment="1" applyProtection="1">
      <alignment horizontal="center" vertical="center"/>
    </xf>
    <xf numFmtId="0" fontId="0" fillId="0" borderId="26" xfId="0" applyFill="1" applyBorder="1" applyProtection="1"/>
    <xf numFmtId="0" fontId="0" fillId="0" borderId="27" xfId="0" applyFill="1" applyBorder="1" applyProtection="1"/>
    <xf numFmtId="0" fontId="11" fillId="0" borderId="28" xfId="0" applyFont="1" applyFill="1" applyBorder="1" applyAlignment="1" applyProtection="1">
      <alignment horizontal="center" vertical="center" wrapText="1"/>
    </xf>
    <xf numFmtId="0" fontId="11" fillId="0" borderId="29" xfId="0" applyFont="1" applyFill="1" applyBorder="1" applyAlignment="1" applyProtection="1">
      <alignment horizontal="center" vertical="center" wrapText="1"/>
    </xf>
    <xf numFmtId="0" fontId="2" fillId="0" borderId="30" xfId="0" applyFont="1" applyFill="1" applyBorder="1" applyProtection="1"/>
    <xf numFmtId="0" fontId="2" fillId="0" borderId="31" xfId="0" applyFont="1" applyFill="1" applyBorder="1" applyAlignment="1" applyProtection="1">
      <alignment horizontal="center" vertical="justify"/>
    </xf>
    <xf numFmtId="0" fontId="2" fillId="0" borderId="32" xfId="0" applyFont="1" applyFill="1" applyBorder="1" applyAlignment="1" applyProtection="1">
      <alignment horizontal="center" vertical="justify"/>
    </xf>
    <xf numFmtId="58" fontId="2" fillId="0" borderId="32" xfId="0" applyNumberFormat="1" applyFont="1" applyFill="1" applyBorder="1" applyAlignment="1" applyProtection="1">
      <alignment horizontal="center" vertical="justify"/>
    </xf>
    <xf numFmtId="0" fontId="2" fillId="0" borderId="32" xfId="0" applyNumberFormat="1" applyFont="1" applyFill="1" applyBorder="1" applyAlignment="1" applyProtection="1">
      <alignment horizontal="center" vertical="justify"/>
    </xf>
    <xf numFmtId="177" fontId="2" fillId="0" borderId="33" xfId="2" applyFont="1" applyFill="1" applyBorder="1" applyAlignment="1" applyProtection="1">
      <alignment horizontal="center" vertical="justify"/>
    </xf>
    <xf numFmtId="0" fontId="2" fillId="0" borderId="0" xfId="0" applyFont="1" applyFill="1" applyBorder="1" applyAlignment="1" applyProtection="1">
      <alignment horizontal="center" vertical="justify"/>
    </xf>
    <xf numFmtId="0" fontId="11" fillId="0" borderId="34" xfId="0" applyFont="1" applyFill="1" applyBorder="1" applyAlignment="1" applyProtection="1">
      <alignment horizontal="center" vertical="center" wrapText="1"/>
    </xf>
    <xf numFmtId="0" fontId="11" fillId="0" borderId="16" xfId="0" applyFont="1" applyFill="1" applyBorder="1" applyAlignment="1" applyProtection="1">
      <alignment horizontal="center" vertical="center" wrapText="1"/>
    </xf>
    <xf numFmtId="0" fontId="11" fillId="0" borderId="28" xfId="0" applyFont="1" applyFill="1" applyBorder="1" applyAlignment="1" applyProtection="1">
      <alignment horizontal="center" vertical="justify"/>
    </xf>
    <xf numFmtId="0" fontId="11" fillId="0" borderId="35" xfId="0" applyFont="1" applyFill="1" applyBorder="1" applyAlignment="1" applyProtection="1">
      <alignment horizontal="center" vertical="center"/>
    </xf>
    <xf numFmtId="0" fontId="11" fillId="0" borderId="36" xfId="0" applyFont="1" applyFill="1" applyBorder="1" applyAlignment="1" applyProtection="1">
      <alignment horizontal="center" vertical="center"/>
    </xf>
    <xf numFmtId="180" fontId="2" fillId="0" borderId="37" xfId="0" applyNumberFormat="1" applyFont="1" applyFill="1" applyBorder="1" applyAlignment="1" applyProtection="1">
      <alignment horizontal="center" vertical="justify"/>
      <protection locked="0"/>
    </xf>
    <xf numFmtId="49" fontId="2" fillId="0" borderId="38" xfId="0" applyNumberFormat="1" applyFont="1" applyFill="1" applyBorder="1" applyAlignment="1" applyProtection="1">
      <alignment horizontal="center" vertical="justify"/>
      <protection locked="0"/>
    </xf>
    <xf numFmtId="15" fontId="2" fillId="0" borderId="38" xfId="0" applyNumberFormat="1" applyFont="1" applyFill="1" applyBorder="1" applyAlignment="1" applyProtection="1">
      <alignment horizontal="center" vertical="justify"/>
      <protection locked="0"/>
    </xf>
    <xf numFmtId="0" fontId="2" fillId="0" borderId="39" xfId="0" applyNumberFormat="1" applyFont="1" applyFill="1" applyBorder="1" applyAlignment="1" applyProtection="1">
      <alignment horizontal="center" vertical="justify"/>
    </xf>
    <xf numFmtId="0" fontId="2" fillId="0" borderId="40" xfId="0" applyNumberFormat="1" applyFont="1" applyFill="1" applyBorder="1" applyAlignment="1" applyProtection="1">
      <alignment horizontal="center" vertical="justify"/>
    </xf>
    <xf numFmtId="0" fontId="2" fillId="0" borderId="41" xfId="0" applyFont="1" applyFill="1" applyBorder="1" applyAlignment="1" applyProtection="1">
      <alignment horizontal="center" vertical="justify"/>
    </xf>
    <xf numFmtId="0" fontId="11" fillId="0" borderId="42" xfId="0" applyFont="1" applyFill="1" applyBorder="1" applyAlignment="1" applyProtection="1">
      <alignment horizontal="center" vertical="justify"/>
    </xf>
    <xf numFmtId="0" fontId="11" fillId="0" borderId="43" xfId="0" applyFont="1" applyFill="1" applyBorder="1" applyAlignment="1" applyProtection="1">
      <alignment horizontal="center" vertical="justify"/>
    </xf>
    <xf numFmtId="0" fontId="11" fillId="0" borderId="44" xfId="0" applyFont="1" applyFill="1" applyBorder="1" applyAlignment="1" applyProtection="1">
      <alignment horizontal="center" vertical="justify"/>
    </xf>
    <xf numFmtId="180" fontId="2" fillId="0" borderId="45" xfId="0" applyNumberFormat="1" applyFont="1" applyFill="1" applyBorder="1" applyAlignment="1" applyProtection="1">
      <alignment horizontal="center" vertical="justify"/>
    </xf>
    <xf numFmtId="180" fontId="2" fillId="0" borderId="46" xfId="0" applyNumberFormat="1" applyFont="1" applyFill="1" applyBorder="1" applyAlignment="1" applyProtection="1">
      <alignment horizontal="center" vertical="justify"/>
    </xf>
    <xf numFmtId="15" fontId="2" fillId="0" borderId="47" xfId="0" applyNumberFormat="1" applyFont="1" applyFill="1" applyBorder="1" applyAlignment="1" applyProtection="1">
      <alignment horizontal="center" vertical="justify"/>
      <protection locked="0"/>
    </xf>
    <xf numFmtId="0" fontId="2" fillId="0" borderId="48" xfId="0" applyNumberFormat="1" applyFont="1" applyFill="1" applyBorder="1" applyAlignment="1" applyProtection="1">
      <alignment horizontal="center" vertical="justify"/>
    </xf>
    <xf numFmtId="0" fontId="2" fillId="0" borderId="49" xfId="0" applyNumberFormat="1" applyFont="1" applyFill="1" applyBorder="1" applyAlignment="1" applyProtection="1">
      <alignment horizontal="center" vertical="justify"/>
    </xf>
    <xf numFmtId="0" fontId="11" fillId="0" borderId="50" xfId="0" applyFont="1" applyFill="1" applyBorder="1" applyAlignment="1" applyProtection="1">
      <alignment horizontal="center" vertical="center"/>
    </xf>
    <xf numFmtId="0" fontId="11" fillId="0" borderId="41" xfId="0" applyFont="1" applyFill="1" applyBorder="1" applyAlignment="1" applyProtection="1">
      <alignment horizontal="center" vertical="center"/>
    </xf>
    <xf numFmtId="0" fontId="11" fillId="0" borderId="51" xfId="0" applyFont="1" applyFill="1" applyBorder="1" applyAlignment="1" applyProtection="1">
      <alignment horizontal="center" vertical="center"/>
    </xf>
    <xf numFmtId="0" fontId="11" fillId="0" borderId="52" xfId="0" applyFont="1" applyFill="1" applyBorder="1" applyAlignment="1" applyProtection="1">
      <alignment horizontal="center" vertical="center" wrapText="1"/>
    </xf>
    <xf numFmtId="0" fontId="11" fillId="0" borderId="53" xfId="0" applyFont="1" applyFill="1" applyBorder="1" applyAlignment="1" applyProtection="1">
      <alignment horizontal="center" vertical="center" wrapText="1"/>
    </xf>
    <xf numFmtId="0" fontId="12" fillId="0" borderId="30" xfId="0" applyFont="1" applyFill="1" applyBorder="1" applyAlignment="1" applyProtection="1">
      <alignment horizontal="center" textRotation="90"/>
    </xf>
    <xf numFmtId="0" fontId="2" fillId="0" borderId="18" xfId="0" applyFont="1" applyFill="1" applyBorder="1" applyAlignment="1" applyProtection="1">
      <alignment horizontal="left"/>
    </xf>
    <xf numFmtId="181" fontId="2" fillId="0" borderId="54" xfId="0" applyNumberFormat="1" applyFont="1" applyFill="1" applyBorder="1" applyAlignment="1" applyProtection="1">
      <alignment horizontal="center"/>
    </xf>
    <xf numFmtId="9" fontId="2" fillId="0" borderId="0" xfId="3" applyFont="1" applyFill="1" applyBorder="1" applyAlignment="1" applyProtection="1">
      <alignment horizontal="center"/>
    </xf>
    <xf numFmtId="182" fontId="2" fillId="0" borderId="54" xfId="0" applyNumberFormat="1" applyFont="1" applyFill="1" applyBorder="1" applyAlignment="1" applyProtection="1">
      <alignment horizontal="center"/>
    </xf>
    <xf numFmtId="182" fontId="2" fillId="0" borderId="0" xfId="0" applyNumberFormat="1" applyFont="1" applyFill="1" applyBorder="1" applyAlignment="1" applyProtection="1">
      <alignment horizontal="center"/>
    </xf>
    <xf numFmtId="0" fontId="2" fillId="0" borderId="54" xfId="0" applyNumberFormat="1" applyFont="1" applyFill="1" applyBorder="1" applyAlignment="1" applyProtection="1">
      <alignment horizontal="center"/>
    </xf>
    <xf numFmtId="10" fontId="2" fillId="0" borderId="0" xfId="3" applyNumberFormat="1" applyFont="1" applyFill="1" applyBorder="1" applyAlignment="1" applyProtection="1">
      <alignment horizontal="center"/>
    </xf>
    <xf numFmtId="177" fontId="2" fillId="0" borderId="0" xfId="2" applyFont="1" applyFill="1" applyBorder="1" applyAlignment="1" applyProtection="1">
      <alignment horizontal="center"/>
    </xf>
    <xf numFmtId="2" fontId="13" fillId="0" borderId="0" xfId="0" applyNumberFormat="1" applyFont="1" applyFill="1" applyProtection="1"/>
    <xf numFmtId="0" fontId="2" fillId="9" borderId="54" xfId="0" applyNumberFormat="1" applyFont="1" applyFill="1" applyBorder="1" applyAlignment="1" applyProtection="1">
      <alignment horizontal="center"/>
    </xf>
    <xf numFmtId="182" fontId="2" fillId="9" borderId="54" xfId="0" applyNumberFormat="1" applyFont="1" applyFill="1" applyBorder="1" applyAlignment="1" applyProtection="1">
      <alignment horizontal="center"/>
    </xf>
    <xf numFmtId="0" fontId="2" fillId="0" borderId="55" xfId="0" applyFont="1" applyFill="1" applyBorder="1" applyAlignment="1" applyProtection="1">
      <alignment horizontal="right"/>
    </xf>
    <xf numFmtId="182" fontId="2" fillId="0" borderId="56" xfId="0" applyNumberFormat="1" applyFont="1" applyFill="1" applyBorder="1" applyAlignment="1" applyProtection="1">
      <alignment horizontal="left"/>
    </xf>
    <xf numFmtId="182" fontId="2" fillId="0" borderId="57" xfId="0" applyNumberFormat="1" applyFont="1" applyFill="1" applyBorder="1" applyAlignment="1" applyProtection="1">
      <alignment horizontal="left"/>
    </xf>
    <xf numFmtId="182" fontId="2" fillId="0" borderId="58" xfId="0" applyNumberFormat="1" applyFont="1" applyFill="1" applyBorder="1" applyAlignment="1" applyProtection="1">
      <alignment horizontal="left"/>
    </xf>
    <xf numFmtId="0" fontId="12" fillId="0" borderId="18" xfId="0" applyFont="1" applyFill="1" applyBorder="1" applyAlignment="1" applyProtection="1">
      <alignment horizontal="center" textRotation="90"/>
    </xf>
    <xf numFmtId="182" fontId="2" fillId="0" borderId="59" xfId="0" applyNumberFormat="1" applyFont="1" applyFill="1" applyBorder="1" applyProtection="1"/>
    <xf numFmtId="182" fontId="2" fillId="0" borderId="0" xfId="0" applyNumberFormat="1" applyFont="1" applyFill="1" applyProtection="1"/>
    <xf numFmtId="0" fontId="11" fillId="0" borderId="59" xfId="0" applyFont="1" applyFill="1" applyBorder="1" applyAlignment="1" applyProtection="1">
      <alignment horizontal="center"/>
    </xf>
    <xf numFmtId="0" fontId="11" fillId="0" borderId="60" xfId="0" applyFont="1" applyFill="1" applyBorder="1" applyAlignment="1" applyProtection="1">
      <alignment horizontal="center"/>
    </xf>
    <xf numFmtId="0" fontId="11" fillId="0" borderId="61" xfId="0" applyFont="1" applyFill="1" applyBorder="1" applyAlignment="1" applyProtection="1">
      <alignment horizontal="center" vertical="justify"/>
    </xf>
    <xf numFmtId="0" fontId="2" fillId="0" borderId="62" xfId="0" applyFont="1" applyFill="1" applyBorder="1" applyAlignment="1" applyProtection="1">
      <alignment horizontal="center"/>
    </xf>
    <xf numFmtId="0" fontId="2" fillId="0" borderId="63" xfId="0" applyFont="1" applyFill="1" applyBorder="1" applyProtection="1"/>
    <xf numFmtId="0" fontId="2" fillId="0" borderId="64" xfId="0" applyFont="1" applyFill="1" applyBorder="1" applyAlignment="1" applyProtection="1">
      <alignment horizontal="center"/>
    </xf>
    <xf numFmtId="0" fontId="2" fillId="0" borderId="65" xfId="0" applyFont="1" applyFill="1" applyBorder="1" applyProtection="1"/>
    <xf numFmtId="15" fontId="2" fillId="0" borderId="66" xfId="0" applyNumberFormat="1" applyFont="1" applyFill="1" applyBorder="1" applyAlignment="1" applyProtection="1">
      <alignment horizontal="left" vertical="center"/>
      <protection locked="0"/>
    </xf>
    <xf numFmtId="15" fontId="2" fillId="0" borderId="67" xfId="0" applyNumberFormat="1" applyFont="1" applyFill="1" applyBorder="1" applyAlignment="1" applyProtection="1">
      <alignment horizontal="left" vertical="center"/>
      <protection locked="0"/>
    </xf>
    <xf numFmtId="0" fontId="0" fillId="0" borderId="67" xfId="0" applyFill="1" applyBorder="1" applyAlignment="1" applyProtection="1">
      <alignment horizontal="left" vertical="top" wrapText="1"/>
      <protection locked="0"/>
    </xf>
    <xf numFmtId="0" fontId="0" fillId="0" borderId="67" xfId="0" applyFill="1" applyBorder="1" applyAlignment="1">
      <alignment horizontal="left" vertical="top" wrapText="1"/>
    </xf>
    <xf numFmtId="0" fontId="0" fillId="0" borderId="68" xfId="0" applyFill="1" applyBorder="1" applyAlignment="1">
      <alignment horizontal="left" vertical="top" wrapText="1"/>
    </xf>
    <xf numFmtId="0" fontId="2" fillId="0" borderId="69" xfId="0" applyFont="1" applyFill="1" applyBorder="1" applyProtection="1"/>
    <xf numFmtId="0" fontId="2" fillId="0" borderId="70" xfId="0" applyFont="1" applyFill="1" applyBorder="1" applyAlignment="1" applyProtection="1">
      <alignment horizontal="center"/>
    </xf>
    <xf numFmtId="0" fontId="2" fillId="0" borderId="71" xfId="0" applyFont="1" applyFill="1" applyBorder="1" applyAlignment="1" applyProtection="1">
      <alignment horizontal="justify" vertical="top" wrapText="1"/>
    </xf>
    <xf numFmtId="0" fontId="0" fillId="0" borderId="63" xfId="0" applyFont="1" applyFill="1" applyBorder="1" applyAlignment="1">
      <alignment horizontal="justify" vertical="top" wrapText="1"/>
    </xf>
    <xf numFmtId="0" fontId="0" fillId="0" borderId="72" xfId="0" applyFont="1" applyFill="1" applyBorder="1" applyAlignment="1">
      <alignment horizontal="justify" vertical="top" wrapText="1"/>
    </xf>
    <xf numFmtId="0" fontId="2" fillId="0" borderId="57" xfId="0" applyFont="1" applyFill="1" applyBorder="1" applyProtection="1"/>
    <xf numFmtId="0" fontId="10" fillId="0" borderId="0" xfId="0" applyFont="1" applyFill="1" applyBorder="1" applyAlignment="1" applyProtection="1">
      <alignment horizontal="right"/>
    </xf>
    <xf numFmtId="0" fontId="0" fillId="0" borderId="0" xfId="0" applyFill="1"/>
    <xf numFmtId="0" fontId="0" fillId="0" borderId="0" xfId="0" applyFill="1" applyBorder="1"/>
    <xf numFmtId="0" fontId="2" fillId="0" borderId="0" xfId="0" applyFont="1" applyFill="1"/>
    <xf numFmtId="0" fontId="2" fillId="0" borderId="0" xfId="0" applyFont="1" applyFill="1" applyBorder="1"/>
    <xf numFmtId="0" fontId="2" fillId="0" borderId="0" xfId="0" applyFont="1" applyBorder="1"/>
    <xf numFmtId="182" fontId="2" fillId="0" borderId="54" xfId="0" applyNumberFormat="1" applyFont="1" applyFill="1" applyBorder="1" applyAlignment="1" applyProtection="1">
      <alignment horizontal="right"/>
    </xf>
    <xf numFmtId="182" fontId="2" fillId="0" borderId="0" xfId="0" applyNumberFormat="1" applyFont="1" applyFill="1" applyBorder="1" applyAlignment="1" applyProtection="1">
      <alignment horizontal="right"/>
    </xf>
    <xf numFmtId="177" fontId="2" fillId="0" borderId="0" xfId="2" applyFont="1" applyFill="1" applyBorder="1" applyAlignment="1" applyProtection="1">
      <alignment horizontal="right"/>
    </xf>
    <xf numFmtId="0" fontId="2" fillId="0" borderId="54" xfId="0" applyNumberFormat="1" applyFont="1" applyFill="1" applyBorder="1" applyAlignment="1" applyProtection="1">
      <alignment horizontal="right"/>
    </xf>
    <xf numFmtId="0" fontId="14" fillId="0" borderId="0" xfId="0" applyFont="1" applyFill="1" applyProtection="1">
      <protection locked="0"/>
    </xf>
    <xf numFmtId="0" fontId="15" fillId="0" borderId="0" xfId="0" applyFont="1" applyFill="1" applyAlignment="1" applyProtection="1">
      <alignment horizontal="left"/>
      <protection locked="0"/>
    </xf>
    <xf numFmtId="0" fontId="11" fillId="0" borderId="0" xfId="0" applyFont="1" applyFill="1" applyBorder="1" applyAlignment="1" applyProtection="1">
      <alignment horizontal="right"/>
    </xf>
    <xf numFmtId="0" fontId="4" fillId="0" borderId="73" xfId="0" applyFont="1" applyFill="1" applyBorder="1" applyProtection="1">
      <protection locked="0"/>
    </xf>
    <xf numFmtId="0" fontId="0" fillId="0" borderId="26" xfId="0" applyFont="1" applyFill="1" applyBorder="1" applyProtection="1"/>
    <xf numFmtId="0" fontId="0" fillId="0" borderId="27" xfId="0" applyFont="1" applyFill="1" applyBorder="1" applyProtection="1"/>
    <xf numFmtId="49" fontId="2" fillId="0" borderId="39" xfId="0" applyNumberFormat="1" applyFont="1" applyFill="1" applyBorder="1" applyAlignment="1" applyProtection="1">
      <alignment vertical="top" wrapText="1"/>
      <protection locked="0"/>
    </xf>
    <xf numFmtId="49" fontId="2" fillId="0" borderId="74" xfId="0" applyNumberFormat="1" applyFont="1" applyFill="1" applyBorder="1" applyAlignment="1" applyProtection="1">
      <alignment vertical="top" wrapText="1"/>
      <protection locked="0"/>
    </xf>
    <xf numFmtId="49" fontId="2" fillId="0" borderId="75" xfId="0" applyNumberFormat="1" applyFont="1" applyFill="1" applyBorder="1" applyAlignment="1" applyProtection="1">
      <alignment vertical="top" wrapText="1"/>
      <protection locked="0"/>
    </xf>
    <xf numFmtId="181" fontId="2" fillId="0" borderId="54" xfId="0" applyNumberFormat="1" applyFont="1" applyFill="1" applyBorder="1" applyAlignment="1" applyProtection="1">
      <alignment horizontal="left"/>
    </xf>
    <xf numFmtId="9" fontId="2" fillId="0" borderId="0" xfId="3" applyFont="1" applyFill="1" applyBorder="1" applyAlignment="1" applyProtection="1">
      <alignment horizontal="right"/>
    </xf>
    <xf numFmtId="181" fontId="2" fillId="0" borderId="54" xfId="0" applyNumberFormat="1" applyFont="1" applyFill="1" applyBorder="1" applyAlignment="1" applyProtection="1">
      <alignment horizontal="right"/>
    </xf>
    <xf numFmtId="9" fontId="2" fillId="0" borderId="0" xfId="3" applyFont="1" applyFill="1" applyBorder="1" applyAlignment="1" applyProtection="1"/>
    <xf numFmtId="182" fontId="2" fillId="0" borderId="54" xfId="0" applyNumberFormat="1" applyFont="1" applyFill="1" applyBorder="1" applyAlignment="1" applyProtection="1"/>
    <xf numFmtId="182" fontId="2" fillId="0" borderId="0" xfId="0" applyNumberFormat="1" applyFont="1" applyFill="1" applyBorder="1" applyAlignment="1" applyProtection="1"/>
    <xf numFmtId="0" fontId="2" fillId="0" borderId="0" xfId="0" applyFont="1" applyFill="1" applyBorder="1" applyAlignment="1" applyProtection="1">
      <alignment horizontal="right"/>
    </xf>
    <xf numFmtId="0" fontId="2" fillId="0" borderId="54" xfId="0" applyNumberFormat="1" applyFont="1" applyFill="1" applyBorder="1" applyAlignment="1" applyProtection="1"/>
    <xf numFmtId="10" fontId="2" fillId="0" borderId="0" xfId="3" applyNumberFormat="1" applyFont="1" applyFill="1" applyBorder="1" applyAlignment="1" applyProtection="1"/>
    <xf numFmtId="10" fontId="2" fillId="0" borderId="0" xfId="3" applyNumberFormat="1" applyFont="1" applyFill="1" applyBorder="1" applyAlignment="1" applyProtection="1">
      <alignment horizontal="right"/>
    </xf>
    <xf numFmtId="2" fontId="2" fillId="0" borderId="0" xfId="0" applyNumberFormat="1" applyFont="1" applyFill="1" applyProtection="1"/>
    <xf numFmtId="183" fontId="2" fillId="9" borderId="54" xfId="0" applyNumberFormat="1" applyFont="1" applyFill="1" applyBorder="1" applyAlignment="1" applyProtection="1">
      <alignment horizontal="center"/>
    </xf>
    <xf numFmtId="0" fontId="16" fillId="0" borderId="30" xfId="0" applyFont="1" applyFill="1" applyBorder="1" applyAlignment="1" applyProtection="1">
      <alignment horizontal="center" textRotation="90"/>
    </xf>
    <xf numFmtId="0" fontId="11" fillId="0" borderId="66" xfId="0" applyFont="1" applyFill="1" applyBorder="1" applyAlignment="1" applyProtection="1">
      <alignment horizontal="center" vertical="justify"/>
    </xf>
    <xf numFmtId="182" fontId="2" fillId="0" borderId="62" xfId="0" applyNumberFormat="1" applyFont="1" applyFill="1" applyBorder="1" applyProtection="1"/>
    <xf numFmtId="15" fontId="11" fillId="0" borderId="67" xfId="0" applyNumberFormat="1" applyFont="1" applyFill="1" applyBorder="1" applyAlignment="1" applyProtection="1">
      <alignment horizontal="left" vertical="top"/>
      <protection locked="0"/>
    </xf>
    <xf numFmtId="15" fontId="11" fillId="0" borderId="68" xfId="0" applyNumberFormat="1" applyFont="1" applyFill="1" applyBorder="1" applyAlignment="1" applyProtection="1">
      <alignment horizontal="left" vertical="top"/>
      <protection locked="0"/>
    </xf>
    <xf numFmtId="0" fontId="10" fillId="0" borderId="23" xfId="0" applyFont="1" applyFill="1" applyBorder="1" applyAlignment="1" applyProtection="1">
      <alignment horizontal="right"/>
    </xf>
    <xf numFmtId="0" fontId="0" fillId="0" borderId="0" xfId="0" applyFont="1"/>
    <xf numFmtId="0" fontId="0" fillId="0" borderId="0" xfId="0" applyFont="1" applyFill="1" applyBorder="1"/>
    <xf numFmtId="0" fontId="5" fillId="6" borderId="0" xfId="0" applyFont="1" applyFill="1" applyProtection="1">
      <protection locked="0"/>
    </xf>
    <xf numFmtId="0" fontId="5" fillId="0" borderId="0" xfId="0" applyNumberFormat="1" applyFont="1" applyFill="1" applyProtection="1">
      <protection locked="0"/>
    </xf>
    <xf numFmtId="0" fontId="5" fillId="0" borderId="0" xfId="0" applyFont="1" applyFill="1" applyProtection="1">
      <protection locked="0"/>
    </xf>
    <xf numFmtId="10" fontId="5" fillId="0" borderId="0" xfId="3" applyNumberFormat="1" applyFont="1" applyFill="1" applyProtection="1">
      <protection locked="0"/>
    </xf>
    <xf numFmtId="0" fontId="5" fillId="0" borderId="0" xfId="0" applyFont="1" applyProtection="1"/>
    <xf numFmtId="0" fontId="5" fillId="0" borderId="0" xfId="0" applyFont="1" applyProtection="1">
      <protection locked="0"/>
    </xf>
    <xf numFmtId="10" fontId="5" fillId="6" borderId="0" xfId="3" applyNumberFormat="1" applyFont="1" applyFill="1" applyProtection="1">
      <protection locked="0"/>
    </xf>
    <xf numFmtId="0" fontId="17" fillId="6" borderId="0" xfId="0" applyFont="1" applyFill="1" applyAlignment="1" applyProtection="1">
      <alignment horizontal="left"/>
    </xf>
    <xf numFmtId="0" fontId="5" fillId="6" borderId="0" xfId="0" applyFont="1" applyFill="1" applyProtection="1"/>
    <xf numFmtId="0" fontId="8" fillId="0" borderId="0" xfId="0" applyNumberFormat="1" applyFont="1" applyFill="1" applyBorder="1" applyAlignment="1" applyProtection="1">
      <alignment horizontal="center"/>
      <protection locked="0"/>
    </xf>
    <xf numFmtId="0" fontId="18" fillId="0" borderId="0" xfId="0" applyNumberFormat="1" applyFont="1" applyFill="1" applyBorder="1" applyAlignment="1" applyProtection="1">
      <alignment horizontal="center"/>
      <protection locked="0"/>
    </xf>
    <xf numFmtId="0" fontId="18" fillId="0" borderId="0" xfId="3" applyNumberFormat="1" applyFont="1" applyFill="1" applyBorder="1" applyAlignment="1" applyProtection="1">
      <alignment horizontal="center"/>
      <protection locked="0"/>
    </xf>
    <xf numFmtId="0" fontId="8" fillId="0" borderId="0" xfId="0" applyNumberFormat="1" applyFont="1" applyFill="1" applyBorder="1" applyAlignment="1" applyProtection="1">
      <alignment horizontal="center"/>
    </xf>
    <xf numFmtId="10" fontId="5" fillId="0" borderId="0" xfId="3" applyNumberFormat="1" applyFont="1" applyProtection="1"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0" fontId="19" fillId="10" borderId="76" xfId="0" applyFont="1" applyFill="1" applyBorder="1" applyAlignment="1" applyProtection="1">
      <alignment horizontal="center" vertical="center"/>
    </xf>
    <xf numFmtId="0" fontId="19" fillId="10" borderId="21" xfId="0" applyFont="1" applyFill="1" applyBorder="1" applyAlignment="1" applyProtection="1">
      <alignment horizontal="center" vertical="center"/>
    </xf>
    <xf numFmtId="0" fontId="8" fillId="7" borderId="14" xfId="0" applyFont="1" applyFill="1" applyBorder="1" applyAlignment="1" applyProtection="1">
      <alignment horizontal="center" vertical="center" wrapText="1"/>
    </xf>
    <xf numFmtId="0" fontId="8" fillId="5" borderId="47" xfId="0" applyFont="1" applyFill="1" applyBorder="1" applyAlignment="1" applyProtection="1">
      <alignment horizontal="center" vertical="center" wrapText="1"/>
    </xf>
    <xf numFmtId="177" fontId="5" fillId="0" borderId="0" xfId="0" applyNumberFormat="1" applyFont="1" applyProtection="1">
      <protection locked="0"/>
    </xf>
    <xf numFmtId="0" fontId="5" fillId="0" borderId="14" xfId="0" applyNumberFormat="1" applyFont="1" applyFill="1" applyBorder="1" applyProtection="1"/>
    <xf numFmtId="10" fontId="5" fillId="0" borderId="14" xfId="3" applyNumberFormat="1" applyFont="1" applyFill="1" applyBorder="1" applyProtection="1"/>
    <xf numFmtId="177" fontId="5" fillId="0" borderId="14" xfId="2" applyFont="1" applyFill="1" applyBorder="1" applyProtection="1"/>
    <xf numFmtId="177" fontId="5" fillId="0" borderId="14" xfId="2" applyNumberFormat="1" applyFont="1" applyFill="1" applyBorder="1" applyProtection="1"/>
    <xf numFmtId="177" fontId="5" fillId="0" borderId="77" xfId="0" applyNumberFormat="1" applyFont="1" applyBorder="1" applyProtection="1"/>
    <xf numFmtId="4" fontId="5" fillId="0" borderId="49" xfId="0" applyNumberFormat="1" applyFont="1" applyFill="1" applyBorder="1" applyProtection="1">
      <protection locked="0"/>
    </xf>
    <xf numFmtId="177" fontId="5" fillId="0" borderId="0" xfId="2" applyFont="1" applyFill="1" applyProtection="1">
      <protection locked="0"/>
    </xf>
    <xf numFmtId="0" fontId="5" fillId="0" borderId="0" xfId="0" applyNumberFormat="1" applyFont="1" applyProtection="1">
      <protection locked="0"/>
    </xf>
    <xf numFmtId="0" fontId="19" fillId="0" borderId="0" xfId="0" applyFont="1" applyFill="1" applyBorder="1" applyAlignment="1" applyProtection="1">
      <alignment horizontal="center" vertical="center"/>
    </xf>
    <xf numFmtId="0" fontId="19" fillId="10" borderId="78" xfId="0" applyFont="1" applyFill="1" applyBorder="1" applyAlignment="1" applyProtection="1">
      <alignment horizontal="center" vertical="center"/>
    </xf>
    <xf numFmtId="0" fontId="19" fillId="0" borderId="78" xfId="0" applyFont="1" applyFill="1" applyBorder="1" applyAlignment="1" applyProtection="1">
      <alignment horizontal="center" vertical="center"/>
      <protection locked="0"/>
    </xf>
    <xf numFmtId="0" fontId="8" fillId="7" borderId="73" xfId="0" applyFont="1" applyFill="1" applyBorder="1" applyAlignment="1" applyProtection="1">
      <alignment horizontal="center" vertical="center" wrapText="1"/>
    </xf>
    <xf numFmtId="0" fontId="19" fillId="6" borderId="14" xfId="0" applyFont="1" applyFill="1" applyBorder="1" applyAlignment="1" applyProtection="1">
      <alignment horizontal="center" vertical="center" wrapText="1"/>
    </xf>
    <xf numFmtId="0" fontId="5" fillId="9" borderId="14" xfId="0" applyNumberFormat="1" applyFont="1" applyFill="1" applyBorder="1" applyProtection="1"/>
    <xf numFmtId="10" fontId="5" fillId="0" borderId="14" xfId="3" applyNumberFormat="1" applyFont="1" applyBorder="1" applyProtection="1">
      <protection locked="0"/>
    </xf>
    <xf numFmtId="177" fontId="5" fillId="9" borderId="14" xfId="2" applyFont="1" applyFill="1" applyBorder="1" applyProtection="1"/>
    <xf numFmtId="10" fontId="5" fillId="0" borderId="14" xfId="3" applyNumberFormat="1" applyFont="1" applyFill="1" applyBorder="1" applyProtection="1">
      <protection locked="0"/>
    </xf>
    <xf numFmtId="177" fontId="5" fillId="9" borderId="14" xfId="2" applyNumberFormat="1" applyFont="1" applyFill="1" applyBorder="1" applyProtection="1"/>
    <xf numFmtId="177" fontId="5" fillId="0" borderId="14" xfId="2" applyFont="1" applyFill="1" applyBorder="1" applyProtection="1">
      <protection locked="0"/>
    </xf>
    <xf numFmtId="177" fontId="5" fillId="0" borderId="14" xfId="2" applyFont="1" applyBorder="1" applyProtection="1">
      <protection locked="0"/>
    </xf>
    <xf numFmtId="4" fontId="5" fillId="0" borderId="0" xfId="0" applyNumberFormat="1" applyFont="1" applyFill="1" applyBorder="1" applyProtection="1">
      <protection locked="0"/>
    </xf>
    <xf numFmtId="177" fontId="5" fillId="0" borderId="0" xfId="2" applyFont="1" applyProtection="1">
      <protection locked="0"/>
    </xf>
    <xf numFmtId="4" fontId="5" fillId="0" borderId="0" xfId="0" applyNumberFormat="1" applyFont="1" applyProtection="1">
      <protection locked="0"/>
    </xf>
    <xf numFmtId="182" fontId="5" fillId="0" borderId="0" xfId="0" applyNumberFormat="1" applyFont="1" applyProtection="1">
      <protection locked="0"/>
    </xf>
    <xf numFmtId="4" fontId="5" fillId="0" borderId="0" xfId="0" applyNumberFormat="1" applyFont="1" applyProtection="1"/>
    <xf numFmtId="0" fontId="20" fillId="0" borderId="0" xfId="0" applyFont="1" applyFill="1" applyAlignment="1" applyProtection="1">
      <alignment horizontal="left"/>
      <protection locked="0"/>
    </xf>
    <xf numFmtId="177" fontId="5" fillId="0" borderId="0" xfId="0" applyNumberFormat="1" applyFont="1" applyFill="1" applyProtection="1">
      <protection locked="0"/>
    </xf>
    <xf numFmtId="177" fontId="21" fillId="0" borderId="0" xfId="2" applyFont="1" applyFill="1" applyAlignment="1" applyProtection="1">
      <alignment horizontal="left"/>
      <protection locked="0"/>
    </xf>
    <xf numFmtId="10" fontId="20" fillId="0" borderId="0" xfId="3" applyNumberFormat="1" applyFont="1" applyFill="1" applyAlignment="1" applyProtection="1">
      <alignment horizontal="left"/>
      <protection locked="0"/>
    </xf>
    <xf numFmtId="0" fontId="5" fillId="0" borderId="0" xfId="0" applyFont="1" applyFill="1" applyProtection="1"/>
    <xf numFmtId="0" fontId="19" fillId="6" borderId="61" xfId="0" applyFont="1" applyFill="1" applyBorder="1" applyProtection="1"/>
    <xf numFmtId="17" fontId="18" fillId="0" borderId="79" xfId="0" applyNumberFormat="1" applyFont="1" applyFill="1" applyBorder="1" applyAlignment="1" applyProtection="1">
      <alignment horizontal="center"/>
      <protection locked="0"/>
    </xf>
    <xf numFmtId="0" fontId="22" fillId="10" borderId="80" xfId="0" applyFont="1" applyFill="1" applyBorder="1" applyAlignment="1" applyProtection="1">
      <alignment horizontal="center"/>
      <protection locked="0"/>
    </xf>
    <xf numFmtId="0" fontId="22" fillId="10" borderId="81" xfId="0" applyFont="1" applyFill="1" applyBorder="1" applyAlignment="1" applyProtection="1">
      <alignment horizontal="center"/>
      <protection locked="0"/>
    </xf>
    <xf numFmtId="0" fontId="22" fillId="10" borderId="82" xfId="0" applyFont="1" applyFill="1" applyBorder="1" applyAlignment="1" applyProtection="1">
      <alignment horizontal="center"/>
      <protection locked="0"/>
    </xf>
    <xf numFmtId="0" fontId="19" fillId="0" borderId="0" xfId="0" applyFont="1" applyFill="1" applyBorder="1" applyAlignment="1" applyProtection="1">
      <alignment horizontal="center" vertical="center" wrapText="1"/>
      <protection locked="0"/>
    </xf>
    <xf numFmtId="0" fontId="22" fillId="10" borderId="81" xfId="0" applyFont="1" applyFill="1" applyBorder="1" applyAlignment="1" applyProtection="1">
      <alignment horizontal="center"/>
    </xf>
    <xf numFmtId="0" fontId="22" fillId="10" borderId="82" xfId="0" applyFont="1" applyFill="1" applyBorder="1" applyAlignment="1" applyProtection="1">
      <alignment horizontal="center"/>
    </xf>
    <xf numFmtId="0" fontId="22" fillId="10" borderId="83" xfId="0" applyFont="1" applyFill="1" applyBorder="1" applyAlignment="1" applyProtection="1">
      <alignment horizontal="center"/>
    </xf>
    <xf numFmtId="0" fontId="22" fillId="10" borderId="80" xfId="0" applyFont="1" applyFill="1" applyBorder="1" applyAlignment="1" applyProtection="1">
      <alignment horizontal="center"/>
    </xf>
    <xf numFmtId="0" fontId="22" fillId="10" borderId="0" xfId="0" applyFont="1" applyFill="1" applyBorder="1" applyAlignment="1" applyProtection="1">
      <alignment horizontal="center"/>
    </xf>
    <xf numFmtId="0" fontId="5" fillId="9" borderId="14" xfId="0" applyFont="1" applyFill="1" applyBorder="1" applyProtection="1"/>
    <xf numFmtId="3" fontId="5" fillId="0" borderId="14" xfId="0" applyNumberFormat="1" applyFont="1" applyBorder="1" applyProtection="1">
      <protection locked="0"/>
    </xf>
    <xf numFmtId="1" fontId="5" fillId="0" borderId="14" xfId="0" applyNumberFormat="1" applyFont="1" applyBorder="1" applyProtection="1">
      <protection locked="0"/>
    </xf>
    <xf numFmtId="2" fontId="5" fillId="9" borderId="14" xfId="2" applyNumberFormat="1" applyFont="1" applyFill="1" applyBorder="1" applyProtection="1"/>
    <xf numFmtId="0" fontId="5" fillId="0" borderId="14" xfId="0" applyNumberFormat="1" applyFont="1" applyBorder="1" applyProtection="1">
      <protection locked="0"/>
    </xf>
    <xf numFmtId="4" fontId="5" fillId="0" borderId="14" xfId="0" applyNumberFormat="1" applyFont="1" applyBorder="1" applyProtection="1">
      <protection locked="0"/>
    </xf>
    <xf numFmtId="182" fontId="5" fillId="0" borderId="14" xfId="0" applyNumberFormat="1" applyFont="1" applyBorder="1" applyProtection="1">
      <protection locked="0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Fill="1"/>
    <xf numFmtId="0" fontId="5" fillId="0" borderId="0" xfId="0" applyFont="1" applyAlignment="1">
      <alignment horizontal="center"/>
    </xf>
    <xf numFmtId="0" fontId="19" fillId="6" borderId="84" xfId="0" applyFont="1" applyFill="1" applyBorder="1" applyAlignment="1">
      <alignment horizontal="center"/>
    </xf>
    <xf numFmtId="0" fontId="19" fillId="6" borderId="78" xfId="0" applyFont="1" applyFill="1" applyBorder="1" applyAlignment="1">
      <alignment horizontal="center"/>
    </xf>
    <xf numFmtId="0" fontId="19" fillId="6" borderId="0" xfId="0" applyFont="1" applyFill="1" applyBorder="1" applyAlignment="1">
      <alignment horizontal="center"/>
    </xf>
    <xf numFmtId="0" fontId="8" fillId="0" borderId="14" xfId="0" applyFont="1" applyFill="1" applyBorder="1" applyAlignment="1" applyProtection="1">
      <alignment horizontal="center" vertical="center" wrapText="1"/>
      <protection locked="0"/>
    </xf>
    <xf numFmtId="0" fontId="8" fillId="0" borderId="14" xfId="0" applyFont="1" applyFill="1" applyBorder="1" applyAlignment="1" applyProtection="1">
      <alignment horizontal="center" vertical="center" wrapText="1"/>
    </xf>
    <xf numFmtId="0" fontId="5" fillId="0" borderId="14" xfId="0" applyFont="1" applyBorder="1" applyProtection="1">
      <protection locked="0"/>
    </xf>
    <xf numFmtId="15" fontId="5" fillId="0" borderId="14" xfId="0" applyNumberFormat="1" applyFont="1" applyBorder="1" applyProtection="1">
      <protection locked="0"/>
    </xf>
    <xf numFmtId="177" fontId="5" fillId="9" borderId="14" xfId="2" applyFont="1" applyFill="1" applyBorder="1"/>
    <xf numFmtId="0" fontId="5" fillId="0" borderId="14" xfId="0" applyFont="1" applyBorder="1" applyAlignment="1" applyProtection="1">
      <alignment wrapText="1"/>
      <protection locked="0"/>
    </xf>
    <xf numFmtId="0" fontId="5" fillId="0" borderId="14" xfId="0" applyFont="1" applyFill="1" applyBorder="1" applyProtection="1">
      <protection locked="0"/>
    </xf>
    <xf numFmtId="15" fontId="5" fillId="0" borderId="49" xfId="0" applyNumberFormat="1" applyFont="1" applyBorder="1"/>
    <xf numFmtId="177" fontId="5" fillId="0" borderId="0" xfId="2" applyFont="1"/>
    <xf numFmtId="0" fontId="5" fillId="0" borderId="0" xfId="0" applyFont="1" applyAlignment="1" applyProtection="1">
      <alignment wrapText="1"/>
      <protection locked="0"/>
    </xf>
    <xf numFmtId="15" fontId="5" fillId="0" borderId="0" xfId="0" applyNumberFormat="1" applyFont="1" applyBorder="1"/>
    <xf numFmtId="0" fontId="4" fillId="7" borderId="0" xfId="0" applyFont="1" applyFill="1" applyProtection="1">
      <protection locked="0"/>
    </xf>
    <xf numFmtId="0" fontId="4" fillId="6" borderId="0" xfId="0" applyFont="1" applyFill="1" applyProtection="1">
      <protection locked="0"/>
    </xf>
    <xf numFmtId="0" fontId="0" fillId="9" borderId="85" xfId="0" applyFill="1" applyBorder="1" applyProtection="1"/>
    <xf numFmtId="0" fontId="23" fillId="9" borderId="9" xfId="0" applyFont="1" applyFill="1" applyBorder="1" applyProtection="1"/>
    <xf numFmtId="0" fontId="0" fillId="9" borderId="9" xfId="0" applyFill="1" applyBorder="1" applyProtection="1"/>
    <xf numFmtId="0" fontId="0" fillId="9" borderId="86" xfId="0" applyFill="1" applyBorder="1" applyProtection="1"/>
    <xf numFmtId="0" fontId="0" fillId="9" borderId="87" xfId="0" applyFill="1" applyBorder="1" applyProtection="1"/>
    <xf numFmtId="0" fontId="24" fillId="9" borderId="0" xfId="0" applyFont="1" applyFill="1" applyBorder="1" applyProtection="1"/>
    <xf numFmtId="0" fontId="0" fillId="9" borderId="0" xfId="0" applyFill="1" applyBorder="1" applyProtection="1"/>
    <xf numFmtId="0" fontId="0" fillId="9" borderId="65" xfId="0" applyFill="1" applyBorder="1" applyProtection="1"/>
    <xf numFmtId="0" fontId="25" fillId="9" borderId="0" xfId="0" applyFont="1" applyFill="1" applyBorder="1" applyAlignment="1" applyProtection="1">
      <alignment horizontal="right"/>
    </xf>
    <xf numFmtId="0" fontId="0" fillId="0" borderId="88" xfId="0" applyFill="1" applyBorder="1" applyAlignment="1" applyProtection="1">
      <alignment horizontal="left"/>
      <protection locked="0"/>
    </xf>
    <xf numFmtId="0" fontId="0" fillId="0" borderId="89" xfId="0" applyFill="1" applyBorder="1" applyAlignment="1" applyProtection="1">
      <alignment horizontal="left"/>
      <protection locked="0"/>
    </xf>
    <xf numFmtId="0" fontId="0" fillId="0" borderId="90" xfId="0" applyFill="1" applyBorder="1" applyAlignment="1" applyProtection="1">
      <alignment horizontal="left"/>
      <protection locked="0"/>
    </xf>
    <xf numFmtId="0" fontId="0" fillId="0" borderId="91" xfId="0" applyFill="1" applyBorder="1" applyAlignment="1" applyProtection="1">
      <alignment horizontal="center"/>
      <protection locked="0"/>
    </xf>
    <xf numFmtId="0" fontId="0" fillId="9" borderId="0" xfId="0" applyFill="1" applyBorder="1" applyAlignment="1" applyProtection="1">
      <alignment horizontal="center"/>
    </xf>
    <xf numFmtId="0" fontId="0" fillId="0" borderId="91" xfId="0" applyFill="1" applyBorder="1" applyProtection="1">
      <protection locked="0"/>
    </xf>
    <xf numFmtId="0" fontId="0" fillId="0" borderId="91" xfId="0" applyFill="1" applyBorder="1" applyAlignment="1" applyProtection="1">
      <alignment horizontal="left"/>
      <protection locked="0"/>
    </xf>
    <xf numFmtId="0" fontId="0" fillId="9" borderId="92" xfId="0" applyFill="1" applyBorder="1" applyProtection="1"/>
    <xf numFmtId="0" fontId="0" fillId="9" borderId="93" xfId="0" applyFill="1" applyBorder="1" applyProtection="1"/>
    <xf numFmtId="0" fontId="0" fillId="0" borderId="92" xfId="0" applyFill="1" applyBorder="1" applyAlignment="1" applyProtection="1">
      <alignment horizontal="left"/>
      <protection locked="0"/>
    </xf>
    <xf numFmtId="0" fontId="0" fillId="0" borderId="93" xfId="0" applyFill="1" applyBorder="1" applyAlignment="1" applyProtection="1">
      <alignment horizontal="left"/>
      <protection locked="0"/>
    </xf>
    <xf numFmtId="0" fontId="0" fillId="0" borderId="94" xfId="0" applyFill="1" applyBorder="1" applyAlignment="1" applyProtection="1">
      <alignment horizontal="left"/>
      <protection locked="0"/>
    </xf>
    <xf numFmtId="58" fontId="0" fillId="9" borderId="0" xfId="0" applyNumberFormat="1" applyFill="1" applyBorder="1" applyProtection="1"/>
    <xf numFmtId="0" fontId="0" fillId="9" borderId="95" xfId="0" applyFill="1" applyBorder="1" applyProtection="1"/>
    <xf numFmtId="0" fontId="0" fillId="9" borderId="63" xfId="0" applyFill="1" applyBorder="1" applyProtection="1"/>
    <xf numFmtId="0" fontId="0" fillId="9" borderId="72" xfId="0" applyFill="1" applyBorder="1" applyProtection="1"/>
    <xf numFmtId="0" fontId="26" fillId="4" borderId="96" xfId="0" applyFont="1" applyFill="1" applyBorder="1" applyAlignment="1">
      <alignment horizontal="right" vertical="center"/>
    </xf>
    <xf numFmtId="0" fontId="26" fillId="4" borderId="97" xfId="0" applyFont="1" applyFill="1" applyBorder="1" applyAlignment="1">
      <alignment horizontal="right" vertical="center"/>
    </xf>
    <xf numFmtId="0" fontId="0" fillId="3" borderId="98" xfId="49" applyFill="1" applyBorder="1"/>
    <xf numFmtId="0" fontId="0" fillId="11" borderId="96" xfId="49" applyFill="1" applyBorder="1"/>
    <xf numFmtId="0" fontId="0" fillId="11" borderId="97" xfId="49" applyFill="1" applyBorder="1"/>
    <xf numFmtId="0" fontId="0" fillId="11" borderId="99" xfId="49" applyFill="1" applyBorder="1"/>
    <xf numFmtId="0" fontId="2" fillId="4" borderId="0" xfId="0" applyFont="1" applyFill="1" applyBorder="1"/>
    <xf numFmtId="0" fontId="0" fillId="11" borderId="100" xfId="49" applyFill="1" applyBorder="1"/>
    <xf numFmtId="0" fontId="0" fillId="11" borderId="0" xfId="49" applyFill="1" applyBorder="1"/>
    <xf numFmtId="0" fontId="0" fillId="11" borderId="101" xfId="49" applyFill="1" applyBorder="1"/>
    <xf numFmtId="0" fontId="2" fillId="4" borderId="102" xfId="0" applyFont="1" applyFill="1" applyBorder="1"/>
    <xf numFmtId="0" fontId="2" fillId="4" borderId="103" xfId="0" applyFont="1" applyFill="1" applyBorder="1"/>
    <xf numFmtId="0" fontId="2" fillId="4" borderId="104" xfId="0" applyFont="1" applyFill="1" applyBorder="1"/>
    <xf numFmtId="0" fontId="2" fillId="4" borderId="100" xfId="0" applyFont="1" applyFill="1" applyBorder="1"/>
    <xf numFmtId="0" fontId="2" fillId="4" borderId="105" xfId="0" applyFont="1" applyFill="1" applyBorder="1"/>
    <xf numFmtId="0" fontId="0" fillId="3" borderId="100" xfId="49" applyFill="1" applyBorder="1"/>
    <xf numFmtId="0" fontId="0" fillId="3" borderId="101" xfId="49" applyFill="1" applyBorder="1"/>
    <xf numFmtId="0" fontId="0" fillId="11" borderId="106" xfId="49" applyFill="1" applyBorder="1"/>
    <xf numFmtId="0" fontId="0" fillId="11" borderId="107" xfId="49" applyFill="1" applyBorder="1"/>
    <xf numFmtId="0" fontId="0" fillId="11" borderId="108" xfId="49" applyFill="1" applyBorder="1"/>
    <xf numFmtId="0" fontId="0" fillId="0" borderId="109" xfId="0" applyFill="1" applyBorder="1" applyProtection="1">
      <protection locked="0"/>
    </xf>
    <xf numFmtId="17" fontId="0" fillId="0" borderId="0" xfId="0" applyNumberFormat="1"/>
    <xf numFmtId="0" fontId="0" fillId="0" borderId="110" xfId="0" applyFill="1" applyBorder="1" applyProtection="1">
      <protection locked="0"/>
    </xf>
    <xf numFmtId="0" fontId="0" fillId="0" borderId="111" xfId="0" applyBorder="1"/>
    <xf numFmtId="0" fontId="0" fillId="0" borderId="112" xfId="0" applyBorder="1"/>
    <xf numFmtId="0" fontId="0" fillId="0" borderId="113" xfId="0" applyBorder="1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_Lista de precios" xfId="49"/>
  </cellStyles>
  <dxfs count="4">
    <dxf>
      <font>
        <color indexed="22"/>
      </font>
    </dxf>
    <dxf>
      <font>
        <color indexed="9"/>
      </font>
    </dxf>
    <dxf>
      <font>
        <color auto="1"/>
      </font>
      <fill>
        <patternFill patternType="none"/>
      </fill>
      <border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color auto="1"/>
      </font>
      <fill>
        <patternFill patternType="none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ADD2A8"/>
      <rgbColor rgb="00947C6C"/>
      <rgbColor rgb="009AB0C7"/>
      <rgbColor rgb="00F0F4FF"/>
      <rgbColor rgb="00C0DCBC"/>
      <rgbColor rgb="00886B5C"/>
      <rgbColor rgb="008CAAE7"/>
      <rgbColor rgb="00000080"/>
      <rgbColor rgb="005D77B4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D8DEF8"/>
      <rgbColor rgb="00800080"/>
      <rgbColor rgb="00800000"/>
      <rgbColor rgb="00008080"/>
      <rgbColor rgb="000000FF"/>
      <rgbColor rgb="009D7255"/>
      <rgbColor rgb="00D9EBD7"/>
      <rgbColor rgb="00E7E7D6"/>
      <rgbColor rgb="00FFFF99"/>
      <rgbColor rgb="00688FA6"/>
      <rgbColor rgb="00FFFFE5"/>
      <rgbColor rgb="001F57C6"/>
      <rgbColor rgb="00547F96"/>
      <rgbColor rgb="003366FF"/>
      <rgbColor rgb="005A99B6"/>
      <rgbColor rgb="0089BCD5"/>
      <rgbColor rgb="006486DD"/>
      <rgbColor rgb="00006866"/>
      <rgbColor rgb="006A82DC"/>
      <rgbColor rgb="00EEEDD9"/>
      <rgbColor rgb="00969696"/>
      <rgbColor rgb="00003366"/>
      <rgbColor rgb="00339966"/>
      <rgbColor rgb="00F0EFF1"/>
      <rgbColor rgb="006699CC"/>
      <rgbColor rgb="00C8C8C8"/>
      <rgbColor rgb="00993366"/>
      <rgbColor rgb="00333399"/>
      <rgbColor rgb="00333333"/>
    </indexedColors>
    <mruColors>
      <color rgb="00ADD2A8"/>
      <color rgb="00F0EFF1"/>
      <color rgb="00E7E7D6"/>
      <color rgb="00000080"/>
      <color rgb="00333399"/>
      <color rgb="00003366"/>
      <color rgb="008CAAE7"/>
      <color rgb="00FF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GBox" val="0"/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hyperlink" Target="http://www.albanocarratala.com.ar/" TargetMode="External"/><Relationship Id="rId7" Type="http://schemas.openxmlformats.org/officeDocument/2006/relationships/hyperlink" Target="#'Ret. y no Rem.'!A1"/><Relationship Id="rId6" Type="http://schemas.openxmlformats.org/officeDocument/2006/relationships/hyperlink" Target="#Remuneraci&#243;n!A1"/><Relationship Id="rId5" Type="http://schemas.openxmlformats.org/officeDocument/2006/relationships/hyperlink" Target="#Empleados!A1"/><Relationship Id="rId4" Type="http://schemas.openxmlformats.org/officeDocument/2006/relationships/image" Target="../media/image2.jpeg"/><Relationship Id="rId3" Type="http://schemas.openxmlformats.org/officeDocument/2006/relationships/hyperlink" Target="http://www.ospymes.com/" TargetMode="External"/><Relationship Id="rId2" Type="http://schemas.openxmlformats.org/officeDocument/2006/relationships/image" Target="../media/image1.png"/><Relationship Id="rId14" Type="http://schemas.openxmlformats.org/officeDocument/2006/relationships/hyperlink" Target="#Reporte!A1"/><Relationship Id="rId13" Type="http://schemas.openxmlformats.org/officeDocument/2006/relationships/hyperlink" Target="#'Recibo Vacaciones'!A1"/><Relationship Id="rId12" Type="http://schemas.openxmlformats.org/officeDocument/2006/relationships/hyperlink" Target="#'Recibo SAC'!A1"/><Relationship Id="rId11" Type="http://schemas.openxmlformats.org/officeDocument/2006/relationships/hyperlink" Target="#Recibo!A1"/><Relationship Id="rId10" Type="http://schemas.openxmlformats.org/officeDocument/2006/relationships/hyperlink" Target="#Empleador!A1"/><Relationship Id="rId1" Type="http://schemas.openxmlformats.org/officeDocument/2006/relationships/hyperlink" Target="#Importante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Men&#250;!A1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9525</xdr:colOff>
      <xdr:row>3</xdr:row>
      <xdr:rowOff>66675</xdr:rowOff>
    </xdr:from>
    <xdr:to>
      <xdr:col>3</xdr:col>
      <xdr:colOff>1286510</xdr:colOff>
      <xdr:row>3</xdr:row>
      <xdr:rowOff>389890</xdr:rowOff>
    </xdr:to>
    <xdr:grpSp>
      <xdr:nvGrpSpPr>
        <xdr:cNvPr id="17665" name="Group 1">
          <a:hlinkClick xmlns:r="http://schemas.openxmlformats.org/officeDocument/2006/relationships" r:id="rId1"/>
        </xdr:cNvPr>
        <xdr:cNvGrpSpPr/>
      </xdr:nvGrpSpPr>
      <xdr:grpSpPr>
        <a:xfrm>
          <a:off x="1095375" y="590550"/>
          <a:ext cx="1276985" cy="323215"/>
          <a:chOff x="112" y="59"/>
          <a:chExt cx="134" cy="34"/>
        </a:xfrm>
      </xdr:grpSpPr>
      <xdr:sp>
        <xdr:nvSpPr>
          <xdr:cNvPr id="2" name="Rectangle 2"/>
          <xdr:cNvSpPr>
            <a:spLocks noChangeArrowheads="1"/>
          </xdr:cNvSpPr>
        </xdr:nvSpPr>
        <xdr:spPr>
          <a:xfrm>
            <a:off x="143" y="67"/>
            <a:ext cx="103" cy="18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22860" rIns="0" bIns="22860" anchor="ctr" upright="1"/>
          <a:lstStyle/>
          <a:p>
            <a:pPr algn="l" rtl="1">
              <a:defRPr sz="1000"/>
            </a:pPr>
            <a:r>
              <a:rPr lang="es-ES" sz="1000" b="1" i="0" strike="noStrike">
                <a:solidFill>
                  <a:srgbClr val="FF0000"/>
                </a:solidFill>
                <a:latin typeface="Arial" panose="020B0604020202020204"/>
                <a:cs typeface="Arial" panose="020B0604020202020204"/>
              </a:rPr>
              <a:t> IMPORTANTE</a:t>
            </a:r>
            <a:endParaRPr lang="es-ES" sz="1000" b="1" i="0" strike="noStrike">
              <a:solidFill>
                <a:srgbClr val="FF0000"/>
              </a:solidFill>
              <a:latin typeface="Arial" panose="020B0604020202020204"/>
              <a:cs typeface="Arial" panose="020B0604020202020204"/>
            </a:endParaRPr>
          </a:p>
        </xdr:txBody>
      </xdr:sp>
      <xdr:pic>
        <xdr:nvPicPr>
          <xdr:cNvPr id="17682" name="Picture 3" descr="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112" y="59"/>
            <a:ext cx="34" cy="3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514985</xdr:colOff>
      <xdr:row>10</xdr:row>
      <xdr:rowOff>104775</xdr:rowOff>
    </xdr:from>
    <xdr:to>
      <xdr:col>5</xdr:col>
      <xdr:colOff>542925</xdr:colOff>
      <xdr:row>13</xdr:row>
      <xdr:rowOff>123825</xdr:rowOff>
    </xdr:to>
    <xdr:pic>
      <xdr:nvPicPr>
        <xdr:cNvPr id="17666" name="Picture 4" descr="logoomicron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0835" y="1447800"/>
          <a:ext cx="155194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85725</xdr:colOff>
      <xdr:row>10</xdr:row>
      <xdr:rowOff>95250</xdr:rowOff>
    </xdr:from>
    <xdr:to>
      <xdr:col>7</xdr:col>
      <xdr:colOff>1362075</xdr:colOff>
      <xdr:row>11</xdr:row>
      <xdr:rowOff>114300</xdr:rowOff>
    </xdr:to>
    <xdr:sp>
      <xdr:nvSpPr>
        <xdr:cNvPr id="3" name="Rectangle 5">
          <a:hlinkClick xmlns:r="http://schemas.openxmlformats.org/officeDocument/2006/relationships" r:id="rId5"/>
        </xdr:cNvPr>
        <xdr:cNvSpPr>
          <a:spLocks noChangeArrowheads="1"/>
        </xdr:cNvSpPr>
      </xdr:nvSpPr>
      <xdr:spPr>
        <a:xfrm>
          <a:off x="3914775" y="1438275"/>
          <a:ext cx="1276350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Wingdings 3"/>
            </a:rPr>
            <a:t>u</a:t>
          </a: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 Empleados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>
    <xdr:from>
      <xdr:col>7</xdr:col>
      <xdr:colOff>85725</xdr:colOff>
      <xdr:row>11</xdr:row>
      <xdr:rowOff>95250</xdr:rowOff>
    </xdr:from>
    <xdr:to>
      <xdr:col>7</xdr:col>
      <xdr:colOff>1362075</xdr:colOff>
      <xdr:row>12</xdr:row>
      <xdr:rowOff>114300</xdr:rowOff>
    </xdr:to>
    <xdr:sp>
      <xdr:nvSpPr>
        <xdr:cNvPr id="4" name="Rectangle 6">
          <a:hlinkClick xmlns:r="http://schemas.openxmlformats.org/officeDocument/2006/relationships" r:id="rId6"/>
        </xdr:cNvPr>
        <xdr:cNvSpPr>
          <a:spLocks noChangeArrowheads="1"/>
        </xdr:cNvSpPr>
      </xdr:nvSpPr>
      <xdr:spPr>
        <a:xfrm>
          <a:off x="3914775" y="1600200"/>
          <a:ext cx="1276350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Wingdings 3"/>
            </a:rPr>
            <a:t>u</a:t>
          </a: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 Remuneración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>
    <xdr:from>
      <xdr:col>7</xdr:col>
      <xdr:colOff>85725</xdr:colOff>
      <xdr:row>12</xdr:row>
      <xdr:rowOff>104775</xdr:rowOff>
    </xdr:from>
    <xdr:to>
      <xdr:col>7</xdr:col>
      <xdr:colOff>1438275</xdr:colOff>
      <xdr:row>13</xdr:row>
      <xdr:rowOff>114300</xdr:rowOff>
    </xdr:to>
    <xdr:sp>
      <xdr:nvSpPr>
        <xdr:cNvPr id="5" name="Rectangle 7">
          <a:hlinkClick xmlns:r="http://schemas.openxmlformats.org/officeDocument/2006/relationships" r:id="rId7"/>
        </xdr:cNvPr>
        <xdr:cNvSpPr>
          <a:spLocks noChangeArrowheads="1"/>
        </xdr:cNvSpPr>
      </xdr:nvSpPr>
      <xdr:spPr>
        <a:xfrm>
          <a:off x="3914775" y="1771650"/>
          <a:ext cx="1352550" cy="1714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Wingdings 3"/>
            </a:rPr>
            <a:t>u</a:t>
          </a: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 Ret. y no Rem.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 editAs="absolute">
    <xdr:from>
      <xdr:col>7</xdr:col>
      <xdr:colOff>9525</xdr:colOff>
      <xdr:row>5</xdr:row>
      <xdr:rowOff>66675</xdr:rowOff>
    </xdr:from>
    <xdr:to>
      <xdr:col>8</xdr:col>
      <xdr:colOff>9525</xdr:colOff>
      <xdr:row>8</xdr:row>
      <xdr:rowOff>142875</xdr:rowOff>
    </xdr:to>
    <xdr:sp>
      <xdr:nvSpPr>
        <xdr:cNvPr id="6" name="AutoShape 8"/>
        <xdr:cNvSpPr>
          <a:spLocks noChangeArrowheads="1"/>
        </xdr:cNvSpPr>
      </xdr:nvSpPr>
      <xdr:spPr>
        <a:xfrm>
          <a:off x="3838575" y="1047750"/>
          <a:ext cx="2000250" cy="219075"/>
        </a:xfrm>
        <a:prstGeom prst="roundRect">
          <a:avLst>
            <a:gd name="adj" fmla="val 0"/>
          </a:avLst>
        </a:prstGeom>
        <a:solidFill>
          <a:srgbClr val="FFFFE5"/>
        </a:solidFill>
        <a:ln w="9525" algn="ctr">
          <a:noFill/>
          <a:round/>
        </a:ln>
        <a:effectLst>
          <a:prstShdw prst="shdw17" dist="17961" dir="2700000">
            <a:srgbClr val="FFFFE5">
              <a:gamma/>
              <a:shade val="60000"/>
              <a:invGamma/>
            </a:srgbClr>
          </a:prstShdw>
        </a:effec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VÍNCULOS A LAS HOJAS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 editAs="oneCell">
    <xdr:from>
      <xdr:col>3</xdr:col>
      <xdr:colOff>552450</xdr:colOff>
      <xdr:row>14</xdr:row>
      <xdr:rowOff>114300</xdr:rowOff>
    </xdr:from>
    <xdr:to>
      <xdr:col>5</xdr:col>
      <xdr:colOff>572135</xdr:colOff>
      <xdr:row>17</xdr:row>
      <xdr:rowOff>133350</xdr:rowOff>
    </xdr:to>
    <xdr:pic>
      <xdr:nvPicPr>
        <xdr:cNvPr id="17671" name="Picture 9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38300" y="2105025"/>
          <a:ext cx="1543685" cy="50482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1362075</xdr:colOff>
      <xdr:row>10</xdr:row>
      <xdr:rowOff>123825</xdr:rowOff>
    </xdr:to>
    <xdr:sp>
      <xdr:nvSpPr>
        <xdr:cNvPr id="7" name="Rectangle 10">
          <a:hlinkClick xmlns:r="http://schemas.openxmlformats.org/officeDocument/2006/relationships" r:id="rId10"/>
        </xdr:cNvPr>
        <xdr:cNvSpPr>
          <a:spLocks noChangeArrowheads="1"/>
        </xdr:cNvSpPr>
      </xdr:nvSpPr>
      <xdr:spPr>
        <a:xfrm>
          <a:off x="3914775" y="1285875"/>
          <a:ext cx="1276350" cy="18097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Wingdings 3"/>
            </a:rPr>
            <a:t>u</a:t>
          </a: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 Empleador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>
    <xdr:from>
      <xdr:col>7</xdr:col>
      <xdr:colOff>85725</xdr:colOff>
      <xdr:row>13</xdr:row>
      <xdr:rowOff>104775</xdr:rowOff>
    </xdr:from>
    <xdr:to>
      <xdr:col>7</xdr:col>
      <xdr:colOff>1438275</xdr:colOff>
      <xdr:row>14</xdr:row>
      <xdr:rowOff>114300</xdr:rowOff>
    </xdr:to>
    <xdr:sp>
      <xdr:nvSpPr>
        <xdr:cNvPr id="8" name="Rectangle 11">
          <a:hlinkClick xmlns:r="http://schemas.openxmlformats.org/officeDocument/2006/relationships" r:id="rId11"/>
        </xdr:cNvPr>
        <xdr:cNvSpPr>
          <a:spLocks noChangeArrowheads="1"/>
        </xdr:cNvSpPr>
      </xdr:nvSpPr>
      <xdr:spPr>
        <a:xfrm>
          <a:off x="3914775" y="1933575"/>
          <a:ext cx="1352550" cy="1714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Wingdings 3"/>
            </a:rPr>
            <a:t>u</a:t>
          </a: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 Recibo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>
    <xdr:from>
      <xdr:col>7</xdr:col>
      <xdr:colOff>85725</xdr:colOff>
      <xdr:row>14</xdr:row>
      <xdr:rowOff>85725</xdr:rowOff>
    </xdr:from>
    <xdr:to>
      <xdr:col>7</xdr:col>
      <xdr:colOff>1438275</xdr:colOff>
      <xdr:row>15</xdr:row>
      <xdr:rowOff>95250</xdr:rowOff>
    </xdr:to>
    <xdr:sp>
      <xdr:nvSpPr>
        <xdr:cNvPr id="9" name="Rectangle 12">
          <a:hlinkClick xmlns:r="http://schemas.openxmlformats.org/officeDocument/2006/relationships" r:id="rId12"/>
        </xdr:cNvPr>
        <xdr:cNvSpPr>
          <a:spLocks noChangeArrowheads="1"/>
        </xdr:cNvSpPr>
      </xdr:nvSpPr>
      <xdr:spPr>
        <a:xfrm>
          <a:off x="3914775" y="2076450"/>
          <a:ext cx="1352550" cy="1714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Wingdings 3"/>
            </a:rPr>
            <a:t>u</a:t>
          </a: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 Recibo SAC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>
    <xdr:from>
      <xdr:col>7</xdr:col>
      <xdr:colOff>95250</xdr:colOff>
      <xdr:row>15</xdr:row>
      <xdr:rowOff>76200</xdr:rowOff>
    </xdr:from>
    <xdr:to>
      <xdr:col>7</xdr:col>
      <xdr:colOff>1447800</xdr:colOff>
      <xdr:row>16</xdr:row>
      <xdr:rowOff>85725</xdr:rowOff>
    </xdr:to>
    <xdr:sp>
      <xdr:nvSpPr>
        <xdr:cNvPr id="10" name="Rectangle 13">
          <a:hlinkClick xmlns:r="http://schemas.openxmlformats.org/officeDocument/2006/relationships" r:id="rId13"/>
        </xdr:cNvPr>
        <xdr:cNvSpPr>
          <a:spLocks noChangeArrowheads="1"/>
        </xdr:cNvSpPr>
      </xdr:nvSpPr>
      <xdr:spPr>
        <a:xfrm>
          <a:off x="3924300" y="2228850"/>
          <a:ext cx="1352550" cy="1714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Wingdings 3"/>
            </a:rPr>
            <a:t>u</a:t>
          </a: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 Recibo Vacaciones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>
    <xdr:from>
      <xdr:col>7</xdr:col>
      <xdr:colOff>95250</xdr:colOff>
      <xdr:row>16</xdr:row>
      <xdr:rowOff>57150</xdr:rowOff>
    </xdr:from>
    <xdr:to>
      <xdr:col>7</xdr:col>
      <xdr:colOff>1447800</xdr:colOff>
      <xdr:row>17</xdr:row>
      <xdr:rowOff>66675</xdr:rowOff>
    </xdr:to>
    <xdr:sp>
      <xdr:nvSpPr>
        <xdr:cNvPr id="11" name="Rectangle 14">
          <a:hlinkClick xmlns:r="http://schemas.openxmlformats.org/officeDocument/2006/relationships" r:id="rId14"/>
        </xdr:cNvPr>
        <xdr:cNvSpPr>
          <a:spLocks noChangeArrowheads="1"/>
        </xdr:cNvSpPr>
      </xdr:nvSpPr>
      <xdr:spPr>
        <a:xfrm>
          <a:off x="3924300" y="2371725"/>
          <a:ext cx="1352550" cy="1714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s-ES" sz="800" b="1" i="0" strike="noStrike">
              <a:solidFill>
                <a:srgbClr val="003366"/>
              </a:solidFill>
              <a:latin typeface="Wingdings 3"/>
            </a:rPr>
            <a:t>u</a:t>
          </a:r>
          <a:r>
            <a: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 Reporte</a:t>
          </a:r>
          <a:endParaRPr lang="es-ES" sz="800" b="1" i="0" strike="noStrike">
            <a:solidFill>
              <a:srgbClr val="003366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>
    <xdr:from>
      <xdr:col>3</xdr:col>
      <xdr:colOff>247015</xdr:colOff>
      <xdr:row>19</xdr:row>
      <xdr:rowOff>57150</xdr:rowOff>
    </xdr:from>
    <xdr:to>
      <xdr:col>3</xdr:col>
      <xdr:colOff>1181735</xdr:colOff>
      <xdr:row>20</xdr:row>
      <xdr:rowOff>66675</xdr:rowOff>
    </xdr:to>
    <xdr:grpSp>
      <xdr:nvGrpSpPr>
        <xdr:cNvPr id="17677" name="Group 15"/>
        <xdr:cNvGrpSpPr/>
      </xdr:nvGrpSpPr>
      <xdr:grpSpPr>
        <a:xfrm>
          <a:off x="1332865" y="2705100"/>
          <a:ext cx="934720" cy="200025"/>
          <a:chOff x="221" y="286"/>
          <a:chExt cx="98" cy="21"/>
        </a:xfrm>
      </xdr:grpSpPr>
      <xdr:sp macro="[0]!ShowALegal">
        <xdr:nvSpPr>
          <xdr:cNvPr id="12" name="Rectangle 16"/>
          <xdr:cNvSpPr>
            <a:spLocks noChangeArrowheads="1"/>
          </xdr:cNvSpPr>
        </xdr:nvSpPr>
        <xdr:spPr>
          <a:xfrm>
            <a:off x="241" y="290"/>
            <a:ext cx="78" cy="16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3366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Aviso Legal</a:t>
            </a:r>
            <a:endPara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  <a:p>
            <a:pPr algn="l" rtl="1">
              <a:defRPr sz="1000"/>
            </a:pPr>
            <a:r>
              <a:rPr lang="es-ES" sz="800" b="1" i="0" strike="noStrike">
                <a:solidFill>
                  <a:srgbClr val="003366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Legal</a:t>
            </a:r>
            <a:endPara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</xdr:grpSp>
    <xdr:clientData/>
  </xdr:twoCellAnchor>
  <xdr:twoCellAnchor>
    <xdr:from>
      <xdr:col>5</xdr:col>
      <xdr:colOff>0</xdr:colOff>
      <xdr:row>19</xdr:row>
      <xdr:rowOff>66675</xdr:rowOff>
    </xdr:from>
    <xdr:to>
      <xdr:col>5</xdr:col>
      <xdr:colOff>542925</xdr:colOff>
      <xdr:row>20</xdr:row>
      <xdr:rowOff>95250</xdr:rowOff>
    </xdr:to>
    <xdr:grpSp>
      <xdr:nvGrpSpPr>
        <xdr:cNvPr id="17678" name="Group 18"/>
        <xdr:cNvGrpSpPr/>
      </xdr:nvGrpSpPr>
      <xdr:grpSpPr>
        <a:xfrm>
          <a:off x="2609850" y="2714625"/>
          <a:ext cx="542925" cy="219075"/>
          <a:chOff x="327" y="285"/>
          <a:chExt cx="57" cy="23"/>
        </a:xfrm>
      </xdr:grpSpPr>
      <xdr:sp macro="[0]!Salir">
        <xdr:nvSpPr>
          <xdr:cNvPr id="13" name="Rectangle 19"/>
          <xdr:cNvSpPr>
            <a:spLocks noChangeArrowheads="1"/>
          </xdr:cNvSpPr>
        </xdr:nvSpPr>
        <xdr:spPr>
          <a:xfrm>
            <a:off x="348" y="291"/>
            <a:ext cx="36" cy="16"/>
          </a:xfrm>
          <a:prstGeom prst="rect">
            <a:avLst/>
          </a:prstGeom>
          <a:noFill/>
          <a:ln w="9525" algn="ctr">
            <a:noFill/>
            <a:miter lim="800000"/>
          </a:ln>
          <a:effectLst>
            <a:prstShdw prst="shdw17" dist="17961" dir="2700000">
              <a:srgbClr val="F0EFF1">
                <a:gamma/>
                <a:shade val="60000"/>
                <a:invGamma/>
              </a:srgbClr>
            </a:prstShdw>
          </a:effectLst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003366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Salir</a:t>
            </a:r>
            <a:endPara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</xdr:row>
          <xdr:rowOff>66675</xdr:rowOff>
        </xdr:from>
        <xdr:to>
          <xdr:col>5</xdr:col>
          <xdr:colOff>219075</xdr:colOff>
          <xdr:row>20</xdr:row>
          <xdr:rowOff>95250</xdr:rowOff>
        </xdr:to>
        <xdr:sp>
          <xdr:nvSpPr>
            <xdr:cNvPr id="13332" name="Object 20" hidden="1">
              <a:extLst>
                <a:ext uri="{63B3BB69-23CF-44E3-9099-C40C66FF867C}">
                  <a14:compatExt spid="_x0000_s13332"/>
                </a:ext>
              </a:extLst>
            </xdr:cNvPr>
            <xdr:cNvSpPr/>
          </xdr:nvSpPr>
          <xdr:spPr>
            <a:xfrm>
              <a:off x="2609850" y="2714625"/>
              <a:ext cx="219075" cy="219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247015</xdr:colOff>
          <xdr:row>19</xdr:row>
          <xdr:rowOff>57150</xdr:rowOff>
        </xdr:from>
        <xdr:to>
          <xdr:col>3</xdr:col>
          <xdr:colOff>438150</xdr:colOff>
          <xdr:row>20</xdr:row>
          <xdr:rowOff>66675</xdr:rowOff>
        </xdr:to>
        <xdr:sp>
          <xdr:nvSpPr>
            <xdr:cNvPr id="13329" name="Object 17" hidden="1">
              <a:extLst>
                <a:ext uri="{63B3BB69-23CF-44E3-9099-C40C66FF867C}">
                  <a14:compatExt spid="_x0000_s13329"/>
                </a:ext>
              </a:extLst>
            </xdr:cNvPr>
            <xdr:cNvSpPr/>
          </xdr:nvSpPr>
          <xdr:spPr>
            <a:xfrm>
              <a:off x="1332865" y="2705100"/>
              <a:ext cx="19113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485775</xdr:colOff>
      <xdr:row>1</xdr:row>
      <xdr:rowOff>47625</xdr:rowOff>
    </xdr:from>
    <xdr:to>
      <xdr:col>5</xdr:col>
      <xdr:colOff>504825</xdr:colOff>
      <xdr:row>1</xdr:row>
      <xdr:rowOff>238760</xdr:rowOff>
    </xdr:to>
    <xdr:grpSp>
      <xdr:nvGrpSpPr>
        <xdr:cNvPr id="3291" name="Group 6">
          <a:hlinkClick xmlns:r="http://schemas.openxmlformats.org/officeDocument/2006/relationships" r:id="rId1"/>
        </xdr:cNvPr>
        <xdr:cNvGrpSpPr/>
      </xdr:nvGrpSpPr>
      <xdr:grpSpPr>
        <a:xfrm>
          <a:off x="4467225" y="123825"/>
          <a:ext cx="781050" cy="191135"/>
          <a:chOff x="469" y="14"/>
          <a:chExt cx="82" cy="20"/>
        </a:xfrm>
      </xdr:grpSpPr>
      <xdr:sp>
        <xdr:nvSpPr>
          <xdr:cNvPr id="2" name="Rectangle 4"/>
          <xdr:cNvSpPr>
            <a:spLocks noChangeArrowheads="1"/>
          </xdr:cNvSpPr>
        </xdr:nvSpPr>
        <xdr:spPr>
          <a:xfrm>
            <a:off x="487" y="14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27432" bIns="18288" anchor="b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FFFFFF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VOLVER</a:t>
            </a:r>
            <a:endParaRPr lang="es-ES" sz="800" b="1" i="0" strike="noStrike">
              <a:solidFill>
                <a:srgbClr val="FFFFFF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  <xdr:pic>
        <xdr:nvPicPr>
          <xdr:cNvPr id="3293" name="Picture 5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69" y="14"/>
            <a:ext cx="19" cy="20"/>
          </a:xfrm>
          <a:prstGeom prst="rect">
            <a:avLst/>
          </a:prstGeom>
          <a:noFill/>
          <a:ln w="1">
            <a:noFill/>
          </a:ln>
        </xdr:spPr>
      </xdr:pic>
    </xdr:grp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314325</xdr:colOff>
          <xdr:row>4</xdr:row>
          <xdr:rowOff>76200</xdr:rowOff>
        </xdr:from>
        <xdr:to>
          <xdr:col>6</xdr:col>
          <xdr:colOff>257175</xdr:colOff>
          <xdr:row>12</xdr:row>
          <xdr:rowOff>123825</xdr:rowOff>
        </xdr:to>
        <xdr:sp>
          <xdr:nvSpPr>
            <xdr:cNvPr id="3073" name="Group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704850" y="685800"/>
              <a:ext cx="5057775" cy="1447800"/>
            </a:xfrm>
            <a:prstGeom prst="rect">
              <a:avLst/>
            </a:prstGeom>
          </xdr:spPr>
          <xdr:txBody>
            <a:bodyPr vert="horz" anchor="t" anchorCtr="0"/>
            <a:p>
              <a:pPr algn="l"/>
              <a:endParaRPr lang="es-ES" altLang="en-US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10</xdr:col>
      <xdr:colOff>657225</xdr:colOff>
      <xdr:row>1</xdr:row>
      <xdr:rowOff>47625</xdr:rowOff>
    </xdr:from>
    <xdr:to>
      <xdr:col>13</xdr:col>
      <xdr:colOff>114935</xdr:colOff>
      <xdr:row>1</xdr:row>
      <xdr:rowOff>248285</xdr:rowOff>
    </xdr:to>
    <xdr:grpSp>
      <xdr:nvGrpSpPr>
        <xdr:cNvPr id="5383" name="Group 20">
          <a:hlinkClick xmlns:r="http://schemas.openxmlformats.org/officeDocument/2006/relationships" r:id="rId1"/>
        </xdr:cNvPr>
        <xdr:cNvGrpSpPr/>
      </xdr:nvGrpSpPr>
      <xdr:grpSpPr>
        <a:xfrm>
          <a:off x="5591175" y="123825"/>
          <a:ext cx="924560" cy="200660"/>
          <a:chOff x="469" y="14"/>
          <a:chExt cx="82" cy="20"/>
        </a:xfrm>
      </xdr:grpSpPr>
      <xdr:sp>
        <xdr:nvSpPr>
          <xdr:cNvPr id="2" name="Rectangle 21"/>
          <xdr:cNvSpPr>
            <a:spLocks noChangeArrowheads="1"/>
          </xdr:cNvSpPr>
        </xdr:nvSpPr>
        <xdr:spPr>
          <a:xfrm>
            <a:off x="487" y="14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27432" bIns="18288" anchor="b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FFFFFF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VOLVER</a:t>
            </a:r>
            <a:endParaRPr lang="es-ES" sz="800" b="1" i="0" strike="noStrike">
              <a:solidFill>
                <a:srgbClr val="FFFFFF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  <xdr:pic>
        <xdr:nvPicPr>
          <xdr:cNvPr id="5385" name="Picture 2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69" y="14"/>
            <a:ext cx="19" cy="20"/>
          </a:xfrm>
          <a:prstGeom prst="rect">
            <a:avLst/>
          </a:prstGeom>
          <a:noFill/>
          <a:ln w="1">
            <a:noFill/>
          </a:ln>
        </xdr:spPr>
      </xdr:pic>
    </xdr:grpSp>
    <xdr:clientData fPrint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228600</xdr:colOff>
      <xdr:row>1</xdr:row>
      <xdr:rowOff>47625</xdr:rowOff>
    </xdr:from>
    <xdr:to>
      <xdr:col>9</xdr:col>
      <xdr:colOff>219075</xdr:colOff>
      <xdr:row>1</xdr:row>
      <xdr:rowOff>238760</xdr:rowOff>
    </xdr:to>
    <xdr:grpSp>
      <xdr:nvGrpSpPr>
        <xdr:cNvPr id="2468" name="Group 63">
          <a:hlinkClick xmlns:r="http://schemas.openxmlformats.org/officeDocument/2006/relationships" r:id="rId1"/>
        </xdr:cNvPr>
        <xdr:cNvGrpSpPr/>
      </xdr:nvGrpSpPr>
      <xdr:grpSpPr>
        <a:xfrm>
          <a:off x="5219700" y="123825"/>
          <a:ext cx="781050" cy="191135"/>
          <a:chOff x="469" y="14"/>
          <a:chExt cx="82" cy="20"/>
        </a:xfrm>
      </xdr:grpSpPr>
      <xdr:sp>
        <xdr:nvSpPr>
          <xdr:cNvPr id="2" name="Rectangle 64"/>
          <xdr:cNvSpPr>
            <a:spLocks noChangeArrowheads="1"/>
          </xdr:cNvSpPr>
        </xdr:nvSpPr>
        <xdr:spPr>
          <a:xfrm>
            <a:off x="487" y="14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27432" bIns="18288" anchor="b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FFFFFF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VOLVER</a:t>
            </a:r>
            <a:endParaRPr lang="es-ES" sz="800" b="1" i="0" strike="noStrike">
              <a:solidFill>
                <a:srgbClr val="FFFFFF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  <xdr:pic>
        <xdr:nvPicPr>
          <xdr:cNvPr id="2470" name="Picture 65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69" y="14"/>
            <a:ext cx="19" cy="20"/>
          </a:xfrm>
          <a:prstGeom prst="rect">
            <a:avLst/>
          </a:prstGeom>
          <a:noFill/>
          <a:ln w="1">
            <a:noFill/>
          </a:ln>
        </xdr:spPr>
      </xdr:pic>
    </xdr:grpSp>
    <xdr:clientData fPrintsWithSheet="0"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104775</xdr:colOff>
      <xdr:row>1</xdr:row>
      <xdr:rowOff>57150</xdr:rowOff>
    </xdr:from>
    <xdr:to>
      <xdr:col>2</xdr:col>
      <xdr:colOff>457200</xdr:colOff>
      <xdr:row>1</xdr:row>
      <xdr:rowOff>248285</xdr:rowOff>
    </xdr:to>
    <xdr:grpSp>
      <xdr:nvGrpSpPr>
        <xdr:cNvPr id="7417" name="Group 33">
          <a:hlinkClick xmlns:r="http://schemas.openxmlformats.org/officeDocument/2006/relationships" r:id="rId1"/>
        </xdr:cNvPr>
        <xdr:cNvGrpSpPr/>
      </xdr:nvGrpSpPr>
      <xdr:grpSpPr>
        <a:xfrm>
          <a:off x="219075" y="133350"/>
          <a:ext cx="781050" cy="191135"/>
          <a:chOff x="469" y="14"/>
          <a:chExt cx="82" cy="20"/>
        </a:xfrm>
      </xdr:grpSpPr>
      <xdr:sp>
        <xdr:nvSpPr>
          <xdr:cNvPr id="2" name="Rectangle 34"/>
          <xdr:cNvSpPr>
            <a:spLocks noChangeArrowheads="1"/>
          </xdr:cNvSpPr>
        </xdr:nvSpPr>
        <xdr:spPr>
          <a:xfrm>
            <a:off x="487" y="14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27432" bIns="18288" anchor="b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FFFFFF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VOLVER</a:t>
            </a:r>
            <a:endParaRPr lang="es-ES" sz="800" b="1" i="0" strike="noStrike">
              <a:solidFill>
                <a:srgbClr val="FFFFFF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  <xdr:pic>
        <xdr:nvPicPr>
          <xdr:cNvPr id="7419" name="Picture 35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69" y="14"/>
            <a:ext cx="19" cy="20"/>
          </a:xfrm>
          <a:prstGeom prst="rect">
            <a:avLst/>
          </a:prstGeom>
          <a:noFill/>
          <a:ln w="1">
            <a:noFill/>
          </a:ln>
        </xdr:spPr>
      </xdr:pic>
    </xdr:grpSp>
    <xdr:clientData fPrintsWithSheet="0"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581025</xdr:colOff>
      <xdr:row>1</xdr:row>
      <xdr:rowOff>57150</xdr:rowOff>
    </xdr:from>
    <xdr:to>
      <xdr:col>7</xdr:col>
      <xdr:colOff>581025</xdr:colOff>
      <xdr:row>1</xdr:row>
      <xdr:rowOff>248285</xdr:rowOff>
    </xdr:to>
    <xdr:grpSp>
      <xdr:nvGrpSpPr>
        <xdr:cNvPr id="4488" name="Group 81">
          <a:hlinkClick xmlns:r="http://schemas.openxmlformats.org/officeDocument/2006/relationships" r:id="rId1"/>
        </xdr:cNvPr>
        <xdr:cNvGrpSpPr/>
      </xdr:nvGrpSpPr>
      <xdr:grpSpPr>
        <a:xfrm>
          <a:off x="3505200" y="133350"/>
          <a:ext cx="942975" cy="191135"/>
          <a:chOff x="469" y="14"/>
          <a:chExt cx="82" cy="20"/>
        </a:xfrm>
      </xdr:grpSpPr>
      <xdr:sp>
        <xdr:nvSpPr>
          <xdr:cNvPr id="2" name="Rectangle 82"/>
          <xdr:cNvSpPr>
            <a:spLocks noChangeArrowheads="1"/>
          </xdr:cNvSpPr>
        </xdr:nvSpPr>
        <xdr:spPr>
          <a:xfrm>
            <a:off x="487" y="14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27432" bIns="18288" anchor="b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FFFFFF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VOLVER</a:t>
            </a:r>
            <a:endParaRPr lang="es-ES" sz="800" b="1" i="0" strike="noStrike">
              <a:solidFill>
                <a:srgbClr val="FFFFFF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  <xdr:pic>
        <xdr:nvPicPr>
          <xdr:cNvPr id="4490" name="Picture 83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69" y="14"/>
            <a:ext cx="19" cy="20"/>
          </a:xfrm>
          <a:prstGeom prst="rect">
            <a:avLst/>
          </a:prstGeom>
          <a:noFill/>
          <a:ln w="1">
            <a:noFill/>
          </a:ln>
        </xdr:spPr>
      </xdr:pic>
    </xdr:grpSp>
    <xdr:clientData fPrintsWithSheet="0"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656590</xdr:colOff>
      <xdr:row>1</xdr:row>
      <xdr:rowOff>37465</xdr:rowOff>
    </xdr:from>
    <xdr:to>
      <xdr:col>8</xdr:col>
      <xdr:colOff>343535</xdr:colOff>
      <xdr:row>1</xdr:row>
      <xdr:rowOff>228600</xdr:rowOff>
    </xdr:to>
    <xdr:grpSp>
      <xdr:nvGrpSpPr>
        <xdr:cNvPr id="10522" name="Group 43">
          <a:hlinkClick xmlns:r="http://schemas.openxmlformats.org/officeDocument/2006/relationships" r:id="rId1"/>
        </xdr:cNvPr>
        <xdr:cNvGrpSpPr/>
      </xdr:nvGrpSpPr>
      <xdr:grpSpPr>
        <a:xfrm>
          <a:off x="4580890" y="113665"/>
          <a:ext cx="782320" cy="191135"/>
          <a:chOff x="469" y="14"/>
          <a:chExt cx="82" cy="20"/>
        </a:xfrm>
      </xdr:grpSpPr>
      <xdr:sp>
        <xdr:nvSpPr>
          <xdr:cNvPr id="2" name="Rectangle 44"/>
          <xdr:cNvSpPr>
            <a:spLocks noChangeArrowheads="1"/>
          </xdr:cNvSpPr>
        </xdr:nvSpPr>
        <xdr:spPr>
          <a:xfrm>
            <a:off x="487" y="14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27432" bIns="18288" anchor="b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FFFFFF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VOLVER</a:t>
            </a:r>
            <a:endParaRPr lang="es-ES" sz="800" b="1" i="0" strike="noStrike">
              <a:solidFill>
                <a:srgbClr val="FFFFFF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  <xdr:pic>
        <xdr:nvPicPr>
          <xdr:cNvPr id="10524" name="Picture 45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69" y="14"/>
            <a:ext cx="19" cy="20"/>
          </a:xfrm>
          <a:prstGeom prst="rect">
            <a:avLst/>
          </a:prstGeom>
          <a:noFill/>
          <a:ln w="1">
            <a:noFill/>
          </a:ln>
        </xdr:spPr>
      </xdr:pic>
    </xdr:grpSp>
    <xdr:clientData fPrintsWithSheet="0"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304800</xdr:colOff>
      <xdr:row>1</xdr:row>
      <xdr:rowOff>57150</xdr:rowOff>
    </xdr:from>
    <xdr:to>
      <xdr:col>7</xdr:col>
      <xdr:colOff>1085850</xdr:colOff>
      <xdr:row>1</xdr:row>
      <xdr:rowOff>248285</xdr:rowOff>
    </xdr:to>
    <xdr:grpSp>
      <xdr:nvGrpSpPr>
        <xdr:cNvPr id="15615" name="Group 19">
          <a:hlinkClick xmlns:r="http://schemas.openxmlformats.org/officeDocument/2006/relationships" r:id="rId1"/>
        </xdr:cNvPr>
        <xdr:cNvGrpSpPr/>
      </xdr:nvGrpSpPr>
      <xdr:grpSpPr>
        <a:xfrm>
          <a:off x="4229100" y="133350"/>
          <a:ext cx="781050" cy="191135"/>
          <a:chOff x="469" y="14"/>
          <a:chExt cx="82" cy="20"/>
        </a:xfrm>
      </xdr:grpSpPr>
      <xdr:sp>
        <xdr:nvSpPr>
          <xdr:cNvPr id="2" name="Rectangle 20"/>
          <xdr:cNvSpPr>
            <a:spLocks noChangeArrowheads="1"/>
          </xdr:cNvSpPr>
        </xdr:nvSpPr>
        <xdr:spPr>
          <a:xfrm>
            <a:off x="487" y="14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27432" bIns="18288" anchor="b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FFFFFF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VOLVER</a:t>
            </a:r>
            <a:endParaRPr lang="es-ES" sz="800" b="1" i="0" strike="noStrike">
              <a:solidFill>
                <a:srgbClr val="FFFFFF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  <xdr:pic>
        <xdr:nvPicPr>
          <xdr:cNvPr id="15617" name="Picture 21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69" y="14"/>
            <a:ext cx="19" cy="20"/>
          </a:xfrm>
          <a:prstGeom prst="rect">
            <a:avLst/>
          </a:prstGeom>
          <a:noFill/>
          <a:ln w="1">
            <a:noFill/>
          </a:ln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47625</xdr:colOff>
      <xdr:row>1</xdr:row>
      <xdr:rowOff>47625</xdr:rowOff>
    </xdr:from>
    <xdr:to>
      <xdr:col>6</xdr:col>
      <xdr:colOff>152400</xdr:colOff>
      <xdr:row>1</xdr:row>
      <xdr:rowOff>238760</xdr:rowOff>
    </xdr:to>
    <xdr:grpSp>
      <xdr:nvGrpSpPr>
        <xdr:cNvPr id="6365" name="Group 8">
          <a:hlinkClick xmlns:r="http://schemas.openxmlformats.org/officeDocument/2006/relationships" r:id="rId1"/>
        </xdr:cNvPr>
        <xdr:cNvGrpSpPr/>
      </xdr:nvGrpSpPr>
      <xdr:grpSpPr>
        <a:xfrm>
          <a:off x="3867150" y="123825"/>
          <a:ext cx="895350" cy="191135"/>
          <a:chOff x="469" y="14"/>
          <a:chExt cx="82" cy="20"/>
        </a:xfrm>
      </xdr:grpSpPr>
      <xdr:sp>
        <xdr:nvSpPr>
          <xdr:cNvPr id="2" name="Rectangle 9"/>
          <xdr:cNvSpPr>
            <a:spLocks noChangeArrowheads="1"/>
          </xdr:cNvSpPr>
        </xdr:nvSpPr>
        <xdr:spPr>
          <a:xfrm>
            <a:off x="487" y="14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27432" bIns="18288" anchor="b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FFFFFF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VOLVER</a:t>
            </a:r>
            <a:endParaRPr lang="es-ES" sz="800" b="1" i="0" strike="noStrike">
              <a:solidFill>
                <a:srgbClr val="FFFFFF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  <xdr:pic>
        <xdr:nvPicPr>
          <xdr:cNvPr id="6367" name="Picture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69" y="14"/>
            <a:ext cx="19" cy="20"/>
          </a:xfrm>
          <a:prstGeom prst="rect">
            <a:avLst/>
          </a:prstGeom>
          <a:noFill/>
          <a:ln w="1">
            <a:noFill/>
          </a:ln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19685</xdr:colOff>
      <xdr:row>3</xdr:row>
      <xdr:rowOff>105410</xdr:rowOff>
    </xdr:from>
    <xdr:to>
      <xdr:col>3</xdr:col>
      <xdr:colOff>915035</xdr:colOff>
      <xdr:row>3</xdr:row>
      <xdr:rowOff>343535</xdr:rowOff>
    </xdr:to>
    <xdr:grpSp>
      <xdr:nvGrpSpPr>
        <xdr:cNvPr id="14907" name="Group 1">
          <a:hlinkClick xmlns:r="http://schemas.openxmlformats.org/officeDocument/2006/relationships" r:id="rId1"/>
        </xdr:cNvPr>
        <xdr:cNvGrpSpPr/>
      </xdr:nvGrpSpPr>
      <xdr:grpSpPr>
        <a:xfrm>
          <a:off x="1105535" y="629285"/>
          <a:ext cx="895350" cy="238125"/>
          <a:chOff x="115" y="66"/>
          <a:chExt cx="94" cy="25"/>
        </a:xfrm>
      </xdr:grpSpPr>
      <xdr:sp>
        <xdr:nvSpPr>
          <xdr:cNvPr id="2" name="Rectangle 2"/>
          <xdr:cNvSpPr>
            <a:spLocks noChangeArrowheads="1"/>
          </xdr:cNvSpPr>
        </xdr:nvSpPr>
        <xdr:spPr>
          <a:xfrm>
            <a:off x="145" y="70"/>
            <a:ext cx="64" cy="19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0" rIns="0" bIns="22860" anchor="b" upright="1"/>
          <a:lstStyle/>
          <a:p>
            <a:pPr algn="l" rtl="1">
              <a:defRPr sz="1000"/>
            </a:pPr>
            <a:r>
              <a:rPr lang="es-ES" sz="1000" b="1" i="0" strike="noStrike">
                <a:solidFill>
                  <a:srgbClr val="000080"/>
                </a:solidFill>
                <a:latin typeface="Arial" panose="020B0604020202020204"/>
                <a:cs typeface="Arial" panose="020B0604020202020204"/>
              </a:rPr>
              <a:t>VOLVER</a:t>
            </a:r>
            <a:endParaRPr lang="es-ES" sz="1000" b="1" i="0" strike="noStrike">
              <a:solidFill>
                <a:srgbClr val="000080"/>
              </a:solidFill>
              <a:latin typeface="Arial" panose="020B0604020202020204"/>
              <a:cs typeface="Arial" panose="020B0604020202020204"/>
            </a:endParaRPr>
          </a:p>
        </xdr:txBody>
      </xdr:sp>
      <xdr:pic>
        <xdr:nvPicPr>
          <xdr:cNvPr id="14914" name="Picture 3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115" y="66"/>
            <a:ext cx="24" cy="25"/>
          </a:xfrm>
          <a:prstGeom prst="rect">
            <a:avLst/>
          </a:prstGeom>
          <a:noFill/>
          <a:ln w="1">
            <a:noFill/>
          </a:ln>
        </xdr:spPr>
      </xdr:pic>
    </xdr:grpSp>
    <xdr:clientData/>
  </xdr:twoCellAnchor>
  <xdr:twoCellAnchor>
    <xdr:from>
      <xdr:col>3</xdr:col>
      <xdr:colOff>104775</xdr:colOff>
      <xdr:row>7</xdr:row>
      <xdr:rowOff>0</xdr:rowOff>
    </xdr:from>
    <xdr:to>
      <xdr:col>7</xdr:col>
      <xdr:colOff>1895475</xdr:colOff>
      <xdr:row>16</xdr:row>
      <xdr:rowOff>47625</xdr:rowOff>
    </xdr:to>
    <xdr:sp>
      <xdr:nvSpPr>
        <xdr:cNvPr id="3" name="Rectangle 4"/>
        <xdr:cNvSpPr>
          <a:spLocks noChangeArrowheads="1"/>
        </xdr:cNvSpPr>
      </xdr:nvSpPr>
      <xdr:spPr>
        <a:xfrm>
          <a:off x="1190625" y="1104900"/>
          <a:ext cx="4533900" cy="125730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27432" bIns="18288" anchor="ctr" upright="1"/>
        <a:lstStyle/>
        <a:p>
          <a:pPr algn="just" rtl="1">
            <a:defRPr sz="1000"/>
          </a:pPr>
          <a:r>
            <a:rPr lang="es-ES" sz="900" b="0" i="0" strike="noStrike">
              <a:solidFill>
                <a:srgbClr val="000000"/>
              </a:solidFill>
              <a:latin typeface="Tahoma" panose="020B0604030504040204"/>
              <a:ea typeface="Tahoma" panose="020B0604030504040204"/>
              <a:cs typeface="Tahoma" panose="020B0604030504040204"/>
            </a:rPr>
            <a:t>En ningún caso Omicron System S.A. o los autores serán responsables por cualquier daño (incluyendo sin limitación, daños por pérdida de ganancias en los negocios, perdida de información comercial u otra pérdida pecunaria) resultante del uso o incapacidad de usar este producto, aún cuando Omicron System S.A. o los autores hayan sido advertidos sobre la posibilidad de dichos daños.</a:t>
          </a:r>
          <a:endParaRPr lang="es-ES" sz="900" b="0" i="0" strike="noStrike">
            <a:solidFill>
              <a:srgbClr val="000000"/>
            </a:solidFill>
            <a:latin typeface="Tahoma" panose="020B0604030504040204"/>
            <a:ea typeface="Tahoma" panose="020B0604030504040204"/>
            <a:cs typeface="Tahoma" panose="020B0604030504040204"/>
          </a:endParaRPr>
        </a:p>
      </xdr:txBody>
    </xdr:sp>
    <xdr:clientData/>
  </xdr:twoCellAnchor>
  <xdr:twoCellAnchor>
    <xdr:from>
      <xdr:col>3</xdr:col>
      <xdr:colOff>1085215</xdr:colOff>
      <xdr:row>19</xdr:row>
      <xdr:rowOff>66675</xdr:rowOff>
    </xdr:from>
    <xdr:to>
      <xdr:col>5</xdr:col>
      <xdr:colOff>495300</xdr:colOff>
      <xdr:row>20</xdr:row>
      <xdr:rowOff>76200</xdr:rowOff>
    </xdr:to>
    <xdr:grpSp>
      <xdr:nvGrpSpPr>
        <xdr:cNvPr id="14909" name="Group 5"/>
        <xdr:cNvGrpSpPr/>
      </xdr:nvGrpSpPr>
      <xdr:grpSpPr>
        <a:xfrm>
          <a:off x="2171065" y="2714625"/>
          <a:ext cx="934085" cy="200025"/>
          <a:chOff x="221" y="286"/>
          <a:chExt cx="98" cy="21"/>
        </a:xfrm>
      </xdr:grpSpPr>
      <xdr:sp macro="[0]!ShowALegal">
        <xdr:nvSpPr>
          <xdr:cNvPr id="4" name="Rectangle 6"/>
          <xdr:cNvSpPr>
            <a:spLocks noChangeArrowheads="1"/>
          </xdr:cNvSpPr>
        </xdr:nvSpPr>
        <xdr:spPr>
          <a:xfrm>
            <a:off x="241" y="290"/>
            <a:ext cx="78" cy="16"/>
          </a:xfrm>
          <a:prstGeom prst="rect">
            <a:avLst/>
          </a:prstGeom>
          <a:noFill/>
          <a:ln w="9525">
            <a:noFill/>
            <a:miter lim="800000"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s-ES" sz="800" b="1" i="0" strike="noStrike">
                <a:solidFill>
                  <a:srgbClr val="003366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Aviso Legal</a:t>
            </a:r>
            <a:endPara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  <a:p>
            <a:pPr algn="l" rtl="1">
              <a:defRPr sz="1000"/>
            </a:pPr>
            <a:r>
              <a:rPr lang="es-ES" sz="800" b="1" i="0" strike="noStrike">
                <a:solidFill>
                  <a:srgbClr val="003366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Legal</a:t>
            </a:r>
            <a:endPara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</xdr:grpSp>
    <xdr:clientData/>
  </xdr:twoCellAnchor>
  <xdr:twoCellAnchor>
    <xdr:from>
      <xdr:col>5</xdr:col>
      <xdr:colOff>1019810</xdr:colOff>
      <xdr:row>19</xdr:row>
      <xdr:rowOff>57150</xdr:rowOff>
    </xdr:from>
    <xdr:to>
      <xdr:col>7</xdr:col>
      <xdr:colOff>343535</xdr:colOff>
      <xdr:row>20</xdr:row>
      <xdr:rowOff>85725</xdr:rowOff>
    </xdr:to>
    <xdr:grpSp>
      <xdr:nvGrpSpPr>
        <xdr:cNvPr id="14910" name="Group 8"/>
        <xdr:cNvGrpSpPr/>
      </xdr:nvGrpSpPr>
      <xdr:grpSpPr>
        <a:xfrm>
          <a:off x="3629660" y="2705100"/>
          <a:ext cx="542925" cy="219075"/>
          <a:chOff x="327" y="285"/>
          <a:chExt cx="57" cy="23"/>
        </a:xfrm>
      </xdr:grpSpPr>
      <xdr:sp macro="[0]!Salir">
        <xdr:nvSpPr>
          <xdr:cNvPr id="5" name="Rectangle 9"/>
          <xdr:cNvSpPr>
            <a:spLocks noChangeArrowheads="1"/>
          </xdr:cNvSpPr>
        </xdr:nvSpPr>
        <xdr:spPr>
          <a:xfrm>
            <a:off x="348" y="291"/>
            <a:ext cx="36" cy="16"/>
          </a:xfrm>
          <a:prstGeom prst="rect">
            <a:avLst/>
          </a:prstGeom>
          <a:noFill/>
          <a:ln w="9525" algn="ctr">
            <a:noFill/>
            <a:miter lim="800000"/>
          </a:ln>
          <a:effectLst>
            <a:prstShdw prst="shdw17" dist="17961" dir="2700000">
              <a:srgbClr val="F0EFF1">
                <a:gamma/>
                <a:shade val="60000"/>
                <a:invGamma/>
              </a:srgbClr>
            </a:prstShdw>
          </a:effectLst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s-ES" sz="800" b="1" i="0" strike="noStrike">
                <a:solidFill>
                  <a:srgbClr val="003366"/>
                </a:solidFill>
                <a:latin typeface="Tahoma" panose="020B0604030504040204"/>
                <a:ea typeface="Tahoma" panose="020B0604030504040204"/>
                <a:cs typeface="Tahoma" panose="020B0604030504040204"/>
              </a:rPr>
              <a:t>Salir</a:t>
            </a:r>
            <a:endParaRPr lang="es-ES" sz="800" b="1" i="0" strike="noStrike">
              <a:solidFill>
                <a:srgbClr val="003366"/>
              </a:solidFill>
              <a:latin typeface="Tahoma" panose="020B0604030504040204"/>
              <a:ea typeface="Tahoma" panose="020B0604030504040204"/>
              <a:cs typeface="Tahoma" panose="020B0604030504040204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1019810</xdr:colOff>
          <xdr:row>19</xdr:row>
          <xdr:rowOff>57150</xdr:rowOff>
        </xdr:from>
        <xdr:to>
          <xdr:col>7</xdr:col>
          <xdr:colOff>19685</xdr:colOff>
          <xdr:row>20</xdr:row>
          <xdr:rowOff>85725</xdr:rowOff>
        </xdr:to>
        <xdr:sp>
          <xdr:nvSpPr>
            <xdr:cNvPr id="14346" name="Object 10" hidden="1">
              <a:extLst>
                <a:ext uri="{63B3BB69-23CF-44E3-9099-C40C66FF867C}">
                  <a14:compatExt spid="_x0000_s14346"/>
                </a:ext>
              </a:extLst>
            </xdr:cNvPr>
            <xdr:cNvSpPr/>
          </xdr:nvSpPr>
          <xdr:spPr>
            <a:xfrm>
              <a:off x="3629660" y="2705100"/>
              <a:ext cx="219075" cy="2190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1085215</xdr:colOff>
          <xdr:row>19</xdr:row>
          <xdr:rowOff>66675</xdr:rowOff>
        </xdr:from>
        <xdr:to>
          <xdr:col>3</xdr:col>
          <xdr:colOff>1276350</xdr:colOff>
          <xdr:row>20</xdr:row>
          <xdr:rowOff>76200</xdr:rowOff>
        </xdr:to>
        <xdr:sp>
          <xdr:nvSpPr>
            <xdr:cNvPr id="14343" name="Object 7" hidden="1">
              <a:extLst>
                <a:ext uri="{63B3BB69-23CF-44E3-9099-C40C66FF867C}">
                  <a14:compatExt spid="_x0000_s14343"/>
                </a:ext>
              </a:extLst>
            </xdr:cNvPr>
            <xdr:cNvSpPr/>
          </xdr:nvSpPr>
          <xdr:spPr>
            <a:xfrm>
              <a:off x="2171065" y="2714625"/>
              <a:ext cx="191135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4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emf"/><Relationship Id="rId5" Type="http://schemas.openxmlformats.org/officeDocument/2006/relationships/oleObject" Target="../embeddings/oleObject4.bin"/><Relationship Id="rId4" Type="http://schemas.openxmlformats.org/officeDocument/2006/relationships/image" Target="../media/image4.e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5"/>
  <dimension ref="A1:O124"/>
  <sheetViews>
    <sheetView zoomScaleSheetLayoutView="60" workbookViewId="0">
      <selection activeCell="N7" sqref="N7"/>
    </sheetView>
  </sheetViews>
  <sheetFormatPr defaultColWidth="11.4285714285714" defaultRowHeight="12.75"/>
  <cols>
    <col min="3" max="3" width="50" customWidth="1"/>
    <col min="4" max="4" width="11.5714285714286" customWidth="1"/>
    <col min="5" max="5" width="11" customWidth="1"/>
  </cols>
  <sheetData>
    <row r="1" ht="13.5" spans="1:15">
      <c r="A1">
        <v>1</v>
      </c>
      <c r="H1" t="s">
        <v>0</v>
      </c>
      <c r="J1" t="s">
        <v>1</v>
      </c>
      <c r="M1" s="131" t="s">
        <v>2</v>
      </c>
      <c r="O1" t="s">
        <v>3</v>
      </c>
    </row>
    <row r="2" ht="14.25" spans="1:15">
      <c r="A2" t="s">
        <v>4</v>
      </c>
      <c r="C2" t="s">
        <v>5</v>
      </c>
      <c r="F2" t="s">
        <v>6</v>
      </c>
      <c r="J2" s="131"/>
      <c r="M2" s="131"/>
      <c r="O2" s="302"/>
    </row>
    <row r="3" ht="13.5" spans="1:15">
      <c r="C3" t="s">
        <v>7</v>
      </c>
      <c r="H3">
        <v>1</v>
      </c>
      <c r="J3" s="131" t="s">
        <v>8</v>
      </c>
      <c r="L3" s="131" t="s">
        <v>9</v>
      </c>
      <c r="M3" s="131" t="s">
        <v>10</v>
      </c>
      <c r="O3" s="302" t="s">
        <v>11</v>
      </c>
    </row>
    <row r="4" spans="1:15">
      <c r="A4" s="303">
        <v>37622</v>
      </c>
      <c r="F4" t="s">
        <v>12</v>
      </c>
      <c r="H4">
        <v>2</v>
      </c>
      <c r="J4" s="131" t="s">
        <v>13</v>
      </c>
      <c r="L4" s="131" t="s">
        <v>14</v>
      </c>
      <c r="M4" s="131" t="s">
        <v>15</v>
      </c>
      <c r="O4" s="304" t="s">
        <v>16</v>
      </c>
    </row>
    <row r="5" spans="1:15">
      <c r="A5" s="303">
        <v>37653</v>
      </c>
      <c r="C5" s="305" t="s">
        <v>17</v>
      </c>
      <c r="F5" t="s">
        <v>18</v>
      </c>
      <c r="H5">
        <v>3</v>
      </c>
      <c r="J5" s="131" t="s">
        <v>19</v>
      </c>
      <c r="M5" s="131" t="s">
        <v>20</v>
      </c>
      <c r="O5" s="304" t="s">
        <v>21</v>
      </c>
    </row>
    <row r="6" spans="1:15">
      <c r="A6" s="303">
        <v>37681</v>
      </c>
      <c r="C6" s="306" t="s">
        <v>22</v>
      </c>
      <c r="F6" t="s">
        <v>23</v>
      </c>
      <c r="H6">
        <v>4</v>
      </c>
      <c r="J6" s="131" t="s">
        <v>24</v>
      </c>
      <c r="M6" s="131" t="s">
        <v>25</v>
      </c>
      <c r="O6" s="304" t="s">
        <v>26</v>
      </c>
    </row>
    <row r="7" spans="1:15">
      <c r="A7" s="303">
        <v>37712</v>
      </c>
      <c r="C7" s="306" t="s">
        <v>27</v>
      </c>
      <c r="F7" t="s">
        <v>28</v>
      </c>
      <c r="H7">
        <v>5</v>
      </c>
      <c r="J7" s="131" t="s">
        <v>29</v>
      </c>
      <c r="M7" s="131" t="s">
        <v>30</v>
      </c>
      <c r="O7" s="304" t="s">
        <v>31</v>
      </c>
    </row>
    <row r="8" spans="1:15">
      <c r="A8" s="303">
        <v>37742</v>
      </c>
      <c r="C8" s="306" t="s">
        <v>32</v>
      </c>
      <c r="F8" t="s">
        <v>33</v>
      </c>
      <c r="H8">
        <v>6</v>
      </c>
      <c r="J8" s="131" t="s">
        <v>34</v>
      </c>
      <c r="O8" s="304" t="s">
        <v>35</v>
      </c>
    </row>
    <row r="9" spans="1:15">
      <c r="A9" s="303">
        <v>37773</v>
      </c>
      <c r="C9" s="306" t="s">
        <v>36</v>
      </c>
      <c r="F9" t="s">
        <v>37</v>
      </c>
      <c r="H9">
        <v>7</v>
      </c>
      <c r="J9" s="131" t="s">
        <v>38</v>
      </c>
      <c r="O9" s="304" t="s">
        <v>39</v>
      </c>
    </row>
    <row r="10" spans="1:15">
      <c r="A10" s="303">
        <v>37803</v>
      </c>
      <c r="C10" s="306" t="s">
        <v>40</v>
      </c>
      <c r="F10" t="s">
        <v>41</v>
      </c>
      <c r="H10">
        <v>8</v>
      </c>
      <c r="J10" s="131" t="s">
        <v>42</v>
      </c>
      <c r="O10" s="304" t="s">
        <v>43</v>
      </c>
    </row>
    <row r="11" spans="1:15">
      <c r="A11" s="303">
        <v>37834</v>
      </c>
      <c r="C11" s="306" t="s">
        <v>44</v>
      </c>
      <c r="F11" t="s">
        <v>45</v>
      </c>
      <c r="H11">
        <v>9</v>
      </c>
      <c r="J11" s="131" t="s">
        <v>46</v>
      </c>
      <c r="O11" s="304" t="s">
        <v>47</v>
      </c>
    </row>
    <row r="12" spans="1:15">
      <c r="A12" s="303">
        <v>37865</v>
      </c>
      <c r="C12" s="306" t="s">
        <v>48</v>
      </c>
      <c r="F12" t="s">
        <v>49</v>
      </c>
      <c r="H12">
        <v>10</v>
      </c>
      <c r="J12" s="131" t="s">
        <v>50</v>
      </c>
      <c r="O12" s="304" t="s">
        <v>51</v>
      </c>
    </row>
    <row r="13" spans="1:15">
      <c r="A13" s="303">
        <v>37895</v>
      </c>
      <c r="C13" s="306" t="s">
        <v>52</v>
      </c>
      <c r="F13" t="s">
        <v>53</v>
      </c>
      <c r="H13">
        <v>11</v>
      </c>
      <c r="J13" s="131" t="s">
        <v>54</v>
      </c>
      <c r="O13" s="304" t="s">
        <v>55</v>
      </c>
    </row>
    <row r="14" spans="1:15">
      <c r="A14" s="303">
        <v>37926</v>
      </c>
      <c r="C14" s="306" t="s">
        <v>56</v>
      </c>
      <c r="F14" t="s">
        <v>57</v>
      </c>
      <c r="H14">
        <v>12</v>
      </c>
      <c r="J14" s="131" t="s">
        <v>58</v>
      </c>
      <c r="O14" s="304" t="s">
        <v>59</v>
      </c>
    </row>
    <row r="15" spans="1:15">
      <c r="A15" s="303">
        <v>37956</v>
      </c>
      <c r="C15" s="306" t="s">
        <v>60</v>
      </c>
      <c r="F15" t="s">
        <v>61</v>
      </c>
      <c r="H15">
        <v>13</v>
      </c>
      <c r="J15" s="131" t="s">
        <v>62</v>
      </c>
      <c r="O15" s="304" t="s">
        <v>63</v>
      </c>
    </row>
    <row r="16" spans="1:15">
      <c r="A16" s="303">
        <v>37987</v>
      </c>
      <c r="C16" s="306" t="s">
        <v>64</v>
      </c>
      <c r="H16">
        <v>14</v>
      </c>
      <c r="J16" s="131" t="s">
        <v>65</v>
      </c>
    </row>
    <row r="17" spans="1:10">
      <c r="A17" s="303">
        <v>38018</v>
      </c>
      <c r="C17" s="306" t="s">
        <v>66</v>
      </c>
      <c r="H17">
        <v>15</v>
      </c>
      <c r="J17" s="131" t="s">
        <v>67</v>
      </c>
    </row>
    <row r="18" spans="1:10">
      <c r="A18" s="303">
        <v>38047</v>
      </c>
      <c r="C18" s="306" t="s">
        <v>68</v>
      </c>
      <c r="H18">
        <v>16</v>
      </c>
      <c r="J18" s="131" t="s">
        <v>69</v>
      </c>
    </row>
    <row r="19" spans="1:10">
      <c r="A19" s="303">
        <v>38078</v>
      </c>
      <c r="C19" s="306" t="s">
        <v>70</v>
      </c>
      <c r="H19">
        <v>17</v>
      </c>
      <c r="J19" s="131" t="s">
        <v>71</v>
      </c>
    </row>
    <row r="20" spans="1:10">
      <c r="A20" s="303">
        <v>38108</v>
      </c>
      <c r="C20" s="306" t="s">
        <v>72</v>
      </c>
      <c r="H20">
        <v>18</v>
      </c>
      <c r="J20" s="131" t="s">
        <v>73</v>
      </c>
    </row>
    <row r="21" spans="1:10">
      <c r="A21" s="303">
        <v>38139</v>
      </c>
      <c r="C21" s="306" t="s">
        <v>74</v>
      </c>
      <c r="H21">
        <v>19</v>
      </c>
      <c r="J21" s="131" t="s">
        <v>75</v>
      </c>
    </row>
    <row r="22" spans="1:10">
      <c r="A22" s="303">
        <v>38169</v>
      </c>
      <c r="C22" s="306" t="s">
        <v>76</v>
      </c>
      <c r="E22" t="s">
        <v>77</v>
      </c>
      <c r="H22">
        <v>20</v>
      </c>
      <c r="J22" s="131" t="s">
        <v>78</v>
      </c>
    </row>
    <row r="23" spans="1:10">
      <c r="A23" s="303">
        <v>38200</v>
      </c>
      <c r="C23" s="306" t="s">
        <v>79</v>
      </c>
      <c r="E23" t="s">
        <v>80</v>
      </c>
      <c r="F23" t="s">
        <v>81</v>
      </c>
      <c r="G23" t="s">
        <v>82</v>
      </c>
      <c r="H23">
        <v>21</v>
      </c>
      <c r="J23" s="131" t="s">
        <v>83</v>
      </c>
    </row>
    <row r="24" spans="1:10">
      <c r="A24" s="303">
        <v>38231</v>
      </c>
      <c r="C24" s="306" t="s">
        <v>84</v>
      </c>
      <c r="E24">
        <v>0</v>
      </c>
      <c r="F24">
        <v>1</v>
      </c>
      <c r="G24">
        <v>0</v>
      </c>
      <c r="H24">
        <v>22</v>
      </c>
      <c r="J24" s="131" t="s">
        <v>85</v>
      </c>
    </row>
    <row r="25" spans="1:10">
      <c r="A25" s="303">
        <v>38261</v>
      </c>
      <c r="C25" s="306" t="s">
        <v>86</v>
      </c>
      <c r="E25">
        <v>1</v>
      </c>
      <c r="F25">
        <v>3</v>
      </c>
      <c r="G25">
        <v>0.01</v>
      </c>
      <c r="H25">
        <v>23</v>
      </c>
      <c r="J25" s="131" t="s">
        <v>87</v>
      </c>
    </row>
    <row r="26" spans="1:10">
      <c r="A26" s="303">
        <v>38292</v>
      </c>
      <c r="C26" s="306" t="s">
        <v>88</v>
      </c>
      <c r="E26">
        <v>3</v>
      </c>
      <c r="F26">
        <v>5</v>
      </c>
      <c r="G26">
        <v>0.02</v>
      </c>
      <c r="H26">
        <v>24</v>
      </c>
      <c r="J26" s="131" t="s">
        <v>89</v>
      </c>
    </row>
    <row r="27" spans="1:10">
      <c r="A27" s="303">
        <v>38322</v>
      </c>
      <c r="C27" s="306" t="s">
        <v>90</v>
      </c>
      <c r="E27">
        <v>5</v>
      </c>
      <c r="F27">
        <v>7</v>
      </c>
      <c r="G27">
        <v>0.04</v>
      </c>
      <c r="H27">
        <v>25</v>
      </c>
    </row>
    <row r="28" spans="1:10">
      <c r="A28" s="303">
        <v>38353</v>
      </c>
      <c r="C28" s="306" t="s">
        <v>91</v>
      </c>
      <c r="E28">
        <v>7</v>
      </c>
      <c r="F28">
        <v>9</v>
      </c>
      <c r="G28">
        <v>0.05</v>
      </c>
      <c r="H28">
        <v>26</v>
      </c>
    </row>
    <row r="29" spans="1:10">
      <c r="A29" s="303">
        <v>38384</v>
      </c>
      <c r="C29" s="306" t="s">
        <v>92</v>
      </c>
      <c r="E29">
        <v>9</v>
      </c>
      <c r="F29">
        <v>11</v>
      </c>
      <c r="G29">
        <v>0.06</v>
      </c>
      <c r="H29">
        <v>27</v>
      </c>
    </row>
    <row r="30" spans="1:10">
      <c r="A30" s="303">
        <v>38412</v>
      </c>
      <c r="C30" s="306" t="s">
        <v>93</v>
      </c>
      <c r="E30">
        <v>11</v>
      </c>
      <c r="F30">
        <v>13</v>
      </c>
      <c r="G30">
        <v>0.07</v>
      </c>
      <c r="H30">
        <v>28</v>
      </c>
    </row>
    <row r="31" spans="1:10">
      <c r="A31" s="303">
        <v>38443</v>
      </c>
      <c r="C31" s="306" t="s">
        <v>94</v>
      </c>
      <c r="E31">
        <v>13</v>
      </c>
      <c r="F31">
        <v>15</v>
      </c>
      <c r="G31">
        <v>0.08</v>
      </c>
      <c r="H31">
        <v>29</v>
      </c>
    </row>
    <row r="32" spans="1:10">
      <c r="A32" s="303">
        <v>38473</v>
      </c>
      <c r="C32" s="306" t="s">
        <v>95</v>
      </c>
      <c r="E32">
        <v>15</v>
      </c>
      <c r="F32">
        <v>17</v>
      </c>
      <c r="G32">
        <v>0.1</v>
      </c>
      <c r="H32">
        <v>30</v>
      </c>
    </row>
    <row r="33" spans="1:7">
      <c r="A33" s="303">
        <v>38504</v>
      </c>
      <c r="C33" s="307" t="s">
        <v>96</v>
      </c>
      <c r="E33">
        <v>17</v>
      </c>
      <c r="F33">
        <v>19</v>
      </c>
      <c r="G33">
        <v>0.12</v>
      </c>
    </row>
    <row r="34" spans="1:7">
      <c r="A34" s="303">
        <v>38534</v>
      </c>
      <c r="C34" t="s">
        <v>97</v>
      </c>
      <c r="E34">
        <v>19</v>
      </c>
      <c r="F34">
        <v>99</v>
      </c>
      <c r="G34">
        <v>0.14</v>
      </c>
    </row>
    <row r="35" spans="1:7">
      <c r="A35" s="303">
        <v>38565</v>
      </c>
      <c r="C35" t="s">
        <v>98</v>
      </c>
      <c r="E35">
        <v>99</v>
      </c>
      <c r="F35">
        <v>0</v>
      </c>
      <c r="G35">
        <v>0</v>
      </c>
    </row>
    <row r="36" spans="1:7">
      <c r="A36" s="303">
        <v>38596</v>
      </c>
      <c r="C36" t="s">
        <v>99</v>
      </c>
      <c r="E36">
        <v>1000</v>
      </c>
      <c r="F36">
        <v>0</v>
      </c>
      <c r="G36">
        <v>0</v>
      </c>
    </row>
    <row r="37" spans="1:7">
      <c r="A37" s="303">
        <v>38626</v>
      </c>
      <c r="C37" t="s">
        <v>100</v>
      </c>
      <c r="E37">
        <v>1000</v>
      </c>
      <c r="F37">
        <v>0</v>
      </c>
      <c r="G37">
        <v>0</v>
      </c>
    </row>
    <row r="38" spans="1:7">
      <c r="A38" s="303">
        <v>38657</v>
      </c>
      <c r="C38" t="s">
        <v>101</v>
      </c>
      <c r="E38">
        <v>1000</v>
      </c>
      <c r="F38">
        <v>0</v>
      </c>
      <c r="G38">
        <v>0</v>
      </c>
    </row>
    <row r="39" spans="1:7">
      <c r="A39" s="303">
        <v>38687</v>
      </c>
      <c r="C39" t="s">
        <v>102</v>
      </c>
    </row>
    <row r="40" spans="1:7">
      <c r="A40" s="303">
        <v>38718</v>
      </c>
      <c r="C40" t="s">
        <v>103</v>
      </c>
    </row>
    <row r="41" spans="1:7">
      <c r="A41" s="303">
        <v>38749</v>
      </c>
      <c r="C41" t="s">
        <v>104</v>
      </c>
    </row>
    <row r="42" spans="1:7">
      <c r="A42" s="303">
        <v>38777</v>
      </c>
      <c r="C42" t="s">
        <v>105</v>
      </c>
    </row>
    <row r="43" spans="1:7">
      <c r="A43" s="303">
        <v>38808</v>
      </c>
      <c r="C43" t="s">
        <v>106</v>
      </c>
    </row>
    <row r="44" spans="1:7">
      <c r="A44" s="303">
        <v>38838</v>
      </c>
      <c r="C44" t="s">
        <v>107</v>
      </c>
    </row>
    <row r="45" spans="1:7">
      <c r="A45" s="303">
        <v>38869</v>
      </c>
      <c r="C45" t="s">
        <v>108</v>
      </c>
    </row>
    <row r="46" spans="1:7">
      <c r="A46" s="303">
        <v>38899</v>
      </c>
      <c r="C46" t="s">
        <v>109</v>
      </c>
    </row>
    <row r="47" spans="1:7">
      <c r="A47" s="303">
        <v>38930</v>
      </c>
      <c r="C47" t="s">
        <v>110</v>
      </c>
    </row>
    <row r="48" spans="1:7">
      <c r="A48" s="303">
        <v>38961</v>
      </c>
      <c r="C48" t="s">
        <v>111</v>
      </c>
    </row>
    <row r="49" spans="1:3">
      <c r="A49" s="303">
        <v>38991</v>
      </c>
      <c r="C49" t="s">
        <v>112</v>
      </c>
    </row>
    <row r="50" spans="1:3">
      <c r="A50" s="303">
        <v>39022</v>
      </c>
      <c r="C50" t="s">
        <v>113</v>
      </c>
    </row>
    <row r="51" spans="1:3">
      <c r="A51" s="303">
        <v>39052</v>
      </c>
      <c r="C51" t="s">
        <v>114</v>
      </c>
    </row>
    <row r="52" spans="1:3">
      <c r="A52" s="303">
        <v>39083</v>
      </c>
      <c r="C52" t="s">
        <v>115</v>
      </c>
    </row>
    <row r="53" spans="1:3">
      <c r="A53" s="303">
        <v>39114</v>
      </c>
      <c r="C53" t="s">
        <v>116</v>
      </c>
    </row>
    <row r="54" spans="1:3">
      <c r="A54" s="303">
        <v>39142</v>
      </c>
      <c r="C54" t="s">
        <v>117</v>
      </c>
    </row>
    <row r="55" spans="1:3">
      <c r="A55" s="303">
        <v>39173</v>
      </c>
      <c r="C55" t="s">
        <v>118</v>
      </c>
    </row>
    <row r="56" spans="1:3">
      <c r="A56" s="303">
        <v>39203</v>
      </c>
      <c r="C56" t="s">
        <v>119</v>
      </c>
    </row>
    <row r="57" spans="1:3">
      <c r="A57" s="303">
        <v>39234</v>
      </c>
      <c r="C57" t="s">
        <v>120</v>
      </c>
    </row>
    <row r="58" spans="1:3">
      <c r="A58" s="303">
        <v>39264</v>
      </c>
      <c r="C58" t="s">
        <v>121</v>
      </c>
    </row>
    <row r="59" spans="1:3">
      <c r="A59" s="303">
        <v>39295</v>
      </c>
      <c r="C59" t="s">
        <v>122</v>
      </c>
    </row>
    <row r="60" spans="1:3">
      <c r="A60" s="303">
        <v>39326</v>
      </c>
      <c r="C60" t="s">
        <v>123</v>
      </c>
    </row>
    <row r="61" spans="1:3">
      <c r="A61" s="303">
        <v>39356</v>
      </c>
      <c r="C61" t="s">
        <v>124</v>
      </c>
    </row>
    <row r="62" spans="1:3">
      <c r="A62" s="303">
        <v>39387</v>
      </c>
      <c r="C62" t="s">
        <v>125</v>
      </c>
    </row>
    <row r="63" spans="1:3">
      <c r="A63" s="303">
        <v>39417</v>
      </c>
      <c r="C63" t="s">
        <v>126</v>
      </c>
    </row>
    <row r="64" spans="1:3">
      <c r="A64" s="303">
        <v>39448</v>
      </c>
      <c r="C64" t="s">
        <v>127</v>
      </c>
    </row>
    <row r="65" spans="1:3">
      <c r="A65" s="303">
        <v>39479</v>
      </c>
      <c r="C65" t="s">
        <v>128</v>
      </c>
    </row>
    <row r="66" spans="1:3">
      <c r="A66" s="303">
        <v>39508</v>
      </c>
      <c r="C66" t="s">
        <v>129</v>
      </c>
    </row>
    <row r="67" spans="1:3">
      <c r="A67" s="303">
        <v>39539</v>
      </c>
      <c r="C67" t="s">
        <v>130</v>
      </c>
    </row>
    <row r="68" spans="1:3">
      <c r="A68" s="303">
        <v>39569</v>
      </c>
      <c r="C68" t="s">
        <v>131</v>
      </c>
    </row>
    <row r="69" spans="1:3">
      <c r="A69" s="303">
        <v>39600</v>
      </c>
      <c r="C69" t="s">
        <v>132</v>
      </c>
    </row>
    <row r="70" spans="1:3">
      <c r="A70" s="303">
        <v>39630</v>
      </c>
      <c r="C70" t="s">
        <v>133</v>
      </c>
    </row>
    <row r="71" spans="1:3">
      <c r="A71" s="303">
        <v>39661</v>
      </c>
      <c r="C71" t="s">
        <v>134</v>
      </c>
    </row>
    <row r="72" spans="1:3">
      <c r="A72" s="303">
        <v>39692</v>
      </c>
      <c r="C72" t="s">
        <v>135</v>
      </c>
    </row>
    <row r="73" spans="1:3">
      <c r="A73" s="303">
        <v>39722</v>
      </c>
      <c r="C73" t="s">
        <v>136</v>
      </c>
    </row>
    <row r="74" spans="1:3">
      <c r="A74" s="303">
        <v>39753</v>
      </c>
      <c r="C74" t="s">
        <v>137</v>
      </c>
    </row>
    <row r="75" spans="1:3">
      <c r="A75" s="303">
        <v>39783</v>
      </c>
      <c r="C75" t="s">
        <v>138</v>
      </c>
    </row>
    <row r="76" spans="1:3">
      <c r="A76" s="303">
        <v>39814</v>
      </c>
      <c r="C76" t="s">
        <v>139</v>
      </c>
    </row>
    <row r="77" spans="1:3">
      <c r="A77" s="303">
        <v>39845</v>
      </c>
      <c r="C77" t="s">
        <v>140</v>
      </c>
    </row>
    <row r="78" spans="1:3">
      <c r="A78" s="303">
        <v>39873</v>
      </c>
      <c r="C78" t="s">
        <v>39</v>
      </c>
    </row>
    <row r="79" spans="1:3">
      <c r="A79" s="303">
        <v>39904</v>
      </c>
      <c r="C79" t="s">
        <v>141</v>
      </c>
    </row>
    <row r="80" spans="1:3">
      <c r="A80" s="303">
        <v>39934</v>
      </c>
      <c r="C80" t="s">
        <v>142</v>
      </c>
    </row>
    <row r="81" spans="1:3">
      <c r="A81" s="303">
        <v>39965</v>
      </c>
      <c r="C81" t="s">
        <v>143</v>
      </c>
    </row>
    <row r="82" spans="1:3">
      <c r="A82" s="303">
        <v>39995</v>
      </c>
      <c r="C82" t="s">
        <v>144</v>
      </c>
    </row>
    <row r="83" spans="1:3">
      <c r="A83" s="303">
        <v>40026</v>
      </c>
      <c r="C83" t="s">
        <v>145</v>
      </c>
    </row>
    <row r="84" spans="1:3">
      <c r="A84" s="303">
        <v>40057</v>
      </c>
      <c r="C84" t="s">
        <v>146</v>
      </c>
    </row>
    <row r="85" spans="1:3">
      <c r="A85" s="303">
        <v>40087</v>
      </c>
      <c r="C85" t="s">
        <v>147</v>
      </c>
    </row>
    <row r="86" spans="1:3">
      <c r="A86" s="303">
        <v>40118</v>
      </c>
      <c r="C86" t="s">
        <v>148</v>
      </c>
    </row>
    <row r="87" spans="1:3">
      <c r="A87" s="303">
        <v>40148</v>
      </c>
      <c r="C87" t="s">
        <v>149</v>
      </c>
    </row>
    <row r="88" spans="1:3">
      <c r="A88" s="303">
        <v>40179</v>
      </c>
      <c r="C88" t="s">
        <v>150</v>
      </c>
    </row>
    <row r="89" spans="1:3">
      <c r="A89" s="303">
        <v>40210</v>
      </c>
      <c r="C89" t="s">
        <v>151</v>
      </c>
    </row>
    <row r="90" spans="1:3">
      <c r="A90" s="303">
        <v>40238</v>
      </c>
      <c r="C90" t="s">
        <v>152</v>
      </c>
    </row>
    <row r="91" spans="1:3">
      <c r="A91" s="303">
        <v>40269</v>
      </c>
    </row>
    <row r="92" spans="1:3">
      <c r="A92" s="303">
        <v>40299</v>
      </c>
    </row>
    <row r="93" spans="1:3">
      <c r="A93" s="303">
        <v>40330</v>
      </c>
    </row>
    <row r="94" spans="1:3">
      <c r="A94" s="303">
        <v>40360</v>
      </c>
    </row>
    <row r="95" spans="1:3">
      <c r="A95" s="303">
        <v>40391</v>
      </c>
    </row>
    <row r="96" spans="1:3">
      <c r="A96" s="303">
        <v>40422</v>
      </c>
    </row>
    <row r="97" spans="1:1">
      <c r="A97" s="303">
        <v>40452</v>
      </c>
    </row>
    <row r="98" spans="1:1">
      <c r="A98" s="303">
        <v>40483</v>
      </c>
    </row>
    <row r="99" spans="1:1">
      <c r="A99" s="303">
        <v>40513</v>
      </c>
    </row>
    <row r="100" spans="1:1">
      <c r="A100" s="303">
        <v>40544</v>
      </c>
    </row>
    <row r="101" spans="1:1">
      <c r="A101" s="303">
        <v>40575</v>
      </c>
    </row>
    <row r="102" spans="1:1">
      <c r="A102" s="303">
        <v>40603</v>
      </c>
    </row>
    <row r="103" spans="1:1">
      <c r="A103" s="303">
        <v>40634</v>
      </c>
    </row>
    <row r="104" spans="1:1">
      <c r="A104" s="303">
        <v>40664</v>
      </c>
    </row>
    <row r="105" spans="1:1">
      <c r="A105" s="303">
        <v>40695</v>
      </c>
    </row>
    <row r="106" spans="1:1">
      <c r="A106" s="303">
        <v>40725</v>
      </c>
    </row>
    <row r="107" spans="1:1">
      <c r="A107" s="303">
        <v>40756</v>
      </c>
    </row>
    <row r="108" spans="1:1">
      <c r="A108" s="303">
        <v>40787</v>
      </c>
    </row>
    <row r="109" spans="1:1">
      <c r="A109" s="303">
        <v>40817</v>
      </c>
    </row>
    <row r="110" spans="1:1">
      <c r="A110" s="303">
        <v>40848</v>
      </c>
    </row>
    <row r="111" spans="1:1">
      <c r="A111" s="303">
        <v>40878</v>
      </c>
    </row>
    <row r="112" spans="1:1">
      <c r="A112" s="303">
        <v>40909</v>
      </c>
    </row>
    <row r="113" spans="1:1">
      <c r="A113" s="303">
        <v>40940</v>
      </c>
    </row>
    <row r="114" spans="1:1">
      <c r="A114" s="303">
        <v>40969</v>
      </c>
    </row>
    <row r="115" spans="1:1">
      <c r="A115" s="303">
        <v>41000</v>
      </c>
    </row>
    <row r="116" spans="1:1">
      <c r="A116" s="303">
        <v>41030</v>
      </c>
    </row>
    <row r="117" spans="1:1">
      <c r="A117" s="303">
        <v>41061</v>
      </c>
    </row>
    <row r="118" spans="1:1">
      <c r="A118" s="303">
        <v>41091</v>
      </c>
    </row>
    <row r="119" spans="1:1">
      <c r="A119" s="303">
        <v>41122</v>
      </c>
    </row>
    <row r="120" spans="1:1">
      <c r="A120" s="303">
        <v>41153</v>
      </c>
    </row>
    <row r="121" spans="1:1">
      <c r="A121" s="303">
        <v>41183</v>
      </c>
    </row>
    <row r="122" spans="1:1">
      <c r="A122" s="303">
        <v>41214</v>
      </c>
    </row>
    <row r="123" spans="1:1">
      <c r="A123" s="303">
        <v>41244</v>
      </c>
    </row>
    <row r="124" spans="1:1">
      <c r="A124" s="303">
        <v>41275</v>
      </c>
    </row>
  </sheetData>
  <pageMargins left="0.75" right="0.75" top="1" bottom="1" header="0" footer="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8"/>
  <dimension ref="B2:J22"/>
  <sheetViews>
    <sheetView showGridLines="0" showRowColHeaders="0" zoomScaleSheetLayoutView="60" workbookViewId="0">
      <selection activeCell="A1" sqref="A1"/>
    </sheetView>
  </sheetViews>
  <sheetFormatPr defaultColWidth="11.4285714285714" defaultRowHeight="12.75"/>
  <cols>
    <col min="1" max="1" width="14.8571428571429" style="1" customWidth="1"/>
    <col min="2" max="2" width="0.571428571428571" style="1" customWidth="1"/>
    <col min="3" max="3" width="0.857142857142857" style="1" customWidth="1"/>
    <col min="4" max="4" width="21.4285714285714" style="1" customWidth="1"/>
    <col min="5" max="5" width="1.42857142857143" style="1" customWidth="1"/>
    <col min="6" max="6" width="16.5714285714286" style="1" customWidth="1"/>
    <col min="7" max="7" width="1.71428571428571" style="1" customWidth="1"/>
    <col min="8" max="8" width="30" style="1" customWidth="1"/>
    <col min="9" max="9" width="1.85714285714286" style="1" customWidth="1"/>
    <col min="10" max="10" width="0.571428571428571" style="1" customWidth="1"/>
    <col min="11" max="16384" width="11.4285714285714" style="1"/>
  </cols>
  <sheetData>
    <row r="2" ht="24.75" customHeight="1"/>
    <row r="3" ht="3.75" customHeight="1" spans="2:10">
      <c r="B3" s="2"/>
      <c r="C3" s="3"/>
      <c r="D3" s="3"/>
      <c r="E3" s="3"/>
      <c r="F3" s="3"/>
      <c r="G3" s="3"/>
      <c r="H3" s="3"/>
      <c r="I3" s="3"/>
      <c r="J3" s="4"/>
    </row>
    <row r="4" ht="33.75" customHeight="1" spans="2:10">
      <c r="B4" s="5"/>
      <c r="C4" s="282" t="s">
        <v>153</v>
      </c>
      <c r="D4" s="283"/>
      <c r="E4" s="283"/>
      <c r="F4" s="283"/>
      <c r="G4" s="283"/>
      <c r="H4" s="283"/>
      <c r="I4" s="283"/>
      <c r="J4" s="284"/>
    </row>
    <row r="5" ht="2.25" customHeight="1" spans="2:10">
      <c r="B5" s="5"/>
      <c r="C5" s="11"/>
      <c r="D5" s="11"/>
      <c r="E5" s="11"/>
      <c r="F5" s="11"/>
      <c r="G5" s="11"/>
      <c r="H5" s="11"/>
      <c r="I5" s="11"/>
      <c r="J5" s="9"/>
    </row>
    <row r="6" ht="7.5" customHeight="1" spans="2:10">
      <c r="B6" s="5"/>
      <c r="C6" s="285"/>
      <c r="D6" s="286"/>
      <c r="E6" s="286"/>
      <c r="F6" s="287"/>
      <c r="G6" s="288"/>
      <c r="H6" s="288"/>
      <c r="I6" s="288"/>
      <c r="J6" s="9"/>
    </row>
    <row r="7" ht="2.25" customHeight="1" spans="2:10">
      <c r="B7" s="5"/>
      <c r="C7" s="289"/>
      <c r="D7" s="290"/>
      <c r="E7" s="290"/>
      <c r="F7" s="291"/>
      <c r="G7" s="288"/>
      <c r="H7" s="288"/>
      <c r="I7" s="288"/>
      <c r="J7" s="9"/>
    </row>
    <row r="8" ht="1.5" customHeight="1" spans="2:10">
      <c r="B8" s="5"/>
      <c r="C8" s="289"/>
      <c r="D8" s="290"/>
      <c r="E8" s="290"/>
      <c r="F8" s="291"/>
      <c r="G8" s="288"/>
      <c r="H8" s="288"/>
      <c r="I8" s="288"/>
      <c r="J8" s="9"/>
    </row>
    <row r="9" spans="2:10">
      <c r="B9" s="5"/>
      <c r="C9" s="289"/>
      <c r="D9" s="290"/>
      <c r="E9" s="290"/>
      <c r="F9" s="291"/>
      <c r="G9" s="288"/>
      <c r="H9" s="292"/>
      <c r="I9" s="288"/>
      <c r="J9" s="9"/>
    </row>
    <row r="10" ht="4.5" customHeight="1" spans="2:10">
      <c r="B10" s="5"/>
      <c r="C10" s="289"/>
      <c r="D10" s="290"/>
      <c r="E10" s="290"/>
      <c r="F10" s="291"/>
      <c r="G10" s="288"/>
      <c r="H10" s="293"/>
      <c r="I10" s="288"/>
      <c r="J10" s="9"/>
    </row>
    <row r="11" spans="2:10">
      <c r="B11" s="5"/>
      <c r="C11" s="289"/>
      <c r="D11" s="290"/>
      <c r="E11" s="290"/>
      <c r="F11" s="291"/>
      <c r="G11" s="288"/>
      <c r="H11" s="293"/>
      <c r="I11" s="288"/>
      <c r="J11" s="9"/>
    </row>
    <row r="12" spans="2:10">
      <c r="B12" s="5"/>
      <c r="C12" s="289"/>
      <c r="D12" s="290"/>
      <c r="E12" s="290"/>
      <c r="F12" s="291"/>
      <c r="G12" s="288"/>
      <c r="H12" s="294"/>
      <c r="I12" s="288"/>
      <c r="J12" s="9"/>
    </row>
    <row r="13" spans="2:10">
      <c r="B13" s="5"/>
      <c r="C13" s="289"/>
      <c r="D13" s="290"/>
      <c r="E13" s="290"/>
      <c r="F13" s="291"/>
      <c r="G13" s="295"/>
      <c r="H13" s="294"/>
      <c r="I13" s="288"/>
      <c r="J13" s="9"/>
    </row>
    <row r="14" spans="2:10">
      <c r="B14" s="5"/>
      <c r="C14" s="289"/>
      <c r="D14" s="290"/>
      <c r="E14" s="290"/>
      <c r="F14" s="291"/>
      <c r="G14" s="295"/>
      <c r="H14" s="294"/>
      <c r="I14" s="288"/>
      <c r="J14" s="9"/>
    </row>
    <row r="15" spans="2:10">
      <c r="B15" s="5"/>
      <c r="C15" s="289"/>
      <c r="D15" s="290"/>
      <c r="E15" s="290"/>
      <c r="F15" s="291"/>
      <c r="G15" s="295"/>
      <c r="H15" s="294"/>
      <c r="I15" s="288"/>
      <c r="J15" s="9"/>
    </row>
    <row r="16" spans="2:10">
      <c r="B16" s="5"/>
      <c r="C16" s="289"/>
      <c r="D16" s="290"/>
      <c r="E16" s="290"/>
      <c r="F16" s="291"/>
      <c r="G16" s="295"/>
      <c r="H16" s="293"/>
      <c r="I16" s="288"/>
      <c r="J16" s="9"/>
    </row>
    <row r="17" spans="2:10">
      <c r="B17" s="5"/>
      <c r="C17" s="289"/>
      <c r="D17" s="290"/>
      <c r="E17" s="290"/>
      <c r="F17" s="291"/>
      <c r="G17" s="295"/>
      <c r="H17" s="293"/>
      <c r="I17" s="288"/>
      <c r="J17" s="9"/>
    </row>
    <row r="18" spans="2:10">
      <c r="B18" s="5"/>
      <c r="C18" s="289"/>
      <c r="D18" s="290"/>
      <c r="E18" s="290"/>
      <c r="F18" s="291"/>
      <c r="G18" s="295"/>
      <c r="H18" s="296"/>
      <c r="I18" s="288"/>
      <c r="J18" s="9"/>
    </row>
    <row r="19" ht="0.75" customHeight="1" spans="2:10">
      <c r="B19" s="5"/>
      <c r="C19" s="297"/>
      <c r="D19" s="10"/>
      <c r="E19" s="10"/>
      <c r="F19" s="298"/>
      <c r="G19" s="288"/>
      <c r="H19" s="288"/>
      <c r="I19" s="288"/>
      <c r="J19" s="9"/>
    </row>
    <row r="20" ht="15" customHeight="1" spans="2:10">
      <c r="B20" s="5"/>
      <c r="C20" s="285"/>
      <c r="D20" s="286"/>
      <c r="E20" s="286"/>
      <c r="F20" s="287"/>
      <c r="G20" s="288"/>
      <c r="H20" s="288"/>
      <c r="I20" s="288"/>
      <c r="J20" s="9"/>
    </row>
    <row r="21" spans="2:10">
      <c r="B21" s="5"/>
      <c r="C21" s="299"/>
      <c r="D21" s="300"/>
      <c r="E21" s="300"/>
      <c r="F21" s="301"/>
      <c r="G21" s="288"/>
      <c r="H21" s="288"/>
      <c r="I21" s="288"/>
      <c r="J21" s="9"/>
    </row>
    <row r="22" ht="3.75" customHeight="1" spans="2:10">
      <c r="B22" s="15"/>
      <c r="C22" s="16"/>
      <c r="D22" s="16"/>
      <c r="E22" s="16"/>
      <c r="F22" s="16"/>
      <c r="G22" s="16"/>
      <c r="H22" s="16"/>
      <c r="I22" s="16"/>
      <c r="J22" s="17"/>
    </row>
  </sheetData>
  <sheetProtection password="C6DC" sheet="1" objects="1" scenarios="1"/>
  <mergeCells count="1">
    <mergeCell ref="C4:I4"/>
  </mergeCells>
  <pageMargins left="0.75" right="0.75" top="1" bottom="1" header="0.5" footer="0.5"/>
  <pageSetup paperSize="9" orientation="portrait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shapeId="13332" r:id="rId3">
          <objectPr defaultSize="0" r:id="rId4">
            <anchor moveWithCells="1" sizeWithCells="1">
              <from>
                <xdr:col>5</xdr:col>
                <xdr:colOff>0</xdr:colOff>
                <xdr:row>19</xdr:row>
                <xdr:rowOff>66675</xdr:rowOff>
              </from>
              <to>
                <xdr:col>5</xdr:col>
                <xdr:colOff>219075</xdr:colOff>
                <xdr:row>20</xdr:row>
                <xdr:rowOff>95250</xdr:rowOff>
              </to>
            </anchor>
          </objectPr>
        </oleObject>
      </mc:Choice>
      <mc:Fallback>
        <oleObject shapeId="13332" r:id="rId3"/>
      </mc:Fallback>
    </mc:AlternateContent>
    <mc:AlternateContent xmlns:mc="http://schemas.openxmlformats.org/markup-compatibility/2006">
      <mc:Choice Requires="x14">
        <oleObject shapeId="13329" r:id="rId5">
          <objectPr defaultSize="0" r:id="rId6">
            <anchor moveWithCells="1" sizeWithCells="1">
              <from>
                <xdr:col>3</xdr:col>
                <xdr:colOff>247015</xdr:colOff>
                <xdr:row>19</xdr:row>
                <xdr:rowOff>57150</xdr:rowOff>
              </from>
              <to>
                <xdr:col>3</xdr:col>
                <xdr:colOff>438150</xdr:colOff>
                <xdr:row>20</xdr:row>
                <xdr:rowOff>66675</xdr:rowOff>
              </to>
            </anchor>
          </objectPr>
        </oleObject>
      </mc:Choice>
      <mc:Fallback>
        <oleObject shapeId="13329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B1:H14"/>
  <sheetViews>
    <sheetView showGridLines="0" zoomScaleSheetLayoutView="60" workbookViewId="0">
      <pane ySplit="2" topLeftCell="A3" activePane="bottomLeft" state="frozenSplit"/>
      <selection/>
      <selection pane="bottomLeft" activeCell="A1" sqref="A1"/>
    </sheetView>
  </sheetViews>
  <sheetFormatPr defaultColWidth="11.4285714285714" defaultRowHeight="12.75" outlineLevelCol="7"/>
  <cols>
    <col min="1" max="1" width="8.14285714285714" style="131" customWidth="1"/>
    <col min="2" max="2" width="2.42857142857143" style="131" customWidth="1"/>
    <col min="3" max="3" width="18" style="131"/>
    <col min="4" max="4" width="31.1428571428571" style="131" customWidth="1"/>
    <col min="5" max="6" width="11.4285714285714" style="131"/>
    <col min="7" max="7" width="6.28571428571429" style="131" customWidth="1"/>
    <col min="8" max="16384" width="11.4285714285714" style="131"/>
  </cols>
  <sheetData>
    <row r="1" s="255" customFormat="1" ht="6" customHeight="1"/>
    <row r="2" s="256" customFormat="1" ht="21.75" customHeight="1" spans="2:8">
      <c r="B2" s="176" t="s">
        <v>154</v>
      </c>
      <c r="C2" s="176"/>
      <c r="D2" s="176"/>
      <c r="E2" s="176"/>
      <c r="F2" s="176"/>
      <c r="G2" s="176"/>
      <c r="H2" s="176"/>
    </row>
    <row r="4" ht="7.5" customHeight="1" spans="2:8">
      <c r="B4" s="257"/>
      <c r="C4" s="258"/>
      <c r="D4" s="259"/>
      <c r="E4" s="259"/>
      <c r="F4" s="259"/>
      <c r="G4" s="260"/>
    </row>
    <row r="5" ht="18.75" spans="2:8">
      <c r="B5" s="261"/>
      <c r="C5" s="262"/>
      <c r="D5" s="263"/>
      <c r="E5" s="263"/>
      <c r="F5" s="263"/>
      <c r="G5" s="264"/>
    </row>
    <row r="6" spans="2:8">
      <c r="B6" s="261"/>
      <c r="C6" s="265" t="s">
        <v>155</v>
      </c>
      <c r="D6" s="266" t="s">
        <v>156</v>
      </c>
      <c r="E6" s="267"/>
      <c r="F6" s="268"/>
      <c r="G6" s="264"/>
    </row>
    <row r="7" spans="2:8">
      <c r="B7" s="261"/>
      <c r="C7" s="265" t="s">
        <v>157</v>
      </c>
      <c r="D7" s="269">
        <v>27202918684</v>
      </c>
      <c r="E7" s="270"/>
      <c r="F7" s="270"/>
      <c r="G7" s="264"/>
    </row>
    <row r="8" spans="2:8">
      <c r="B8" s="261"/>
      <c r="C8" s="265" t="s">
        <v>158</v>
      </c>
      <c r="D8" s="271" t="s">
        <v>159</v>
      </c>
      <c r="E8" s="263"/>
      <c r="F8" s="263"/>
      <c r="G8" s="264"/>
    </row>
    <row r="9" spans="2:8">
      <c r="B9" s="261"/>
      <c r="C9" s="265" t="s">
        <v>160</v>
      </c>
      <c r="D9" s="271" t="s">
        <v>161</v>
      </c>
      <c r="E9" s="263"/>
      <c r="F9" s="263"/>
      <c r="G9" s="264"/>
    </row>
    <row r="10" spans="2:8">
      <c r="B10" s="261"/>
      <c r="C10" s="265" t="s">
        <v>1</v>
      </c>
      <c r="D10" s="271" t="s">
        <v>62</v>
      </c>
      <c r="E10" s="263"/>
      <c r="F10" s="263"/>
      <c r="G10" s="264"/>
    </row>
    <row r="11" ht="13.5" spans="2:8">
      <c r="B11" s="261"/>
      <c r="C11" s="265" t="s">
        <v>162</v>
      </c>
      <c r="D11" s="272">
        <v>5613</v>
      </c>
      <c r="E11" s="273"/>
      <c r="F11" s="274"/>
      <c r="G11" s="264"/>
    </row>
    <row r="12" ht="14.25" spans="2:8">
      <c r="B12" s="261"/>
      <c r="C12" s="265" t="s">
        <v>163</v>
      </c>
      <c r="D12" s="275" t="s">
        <v>164</v>
      </c>
      <c r="E12" s="276"/>
      <c r="F12" s="277"/>
      <c r="G12" s="264"/>
    </row>
    <row r="13" ht="13.5" spans="2:8">
      <c r="B13" s="261"/>
      <c r="C13" s="263"/>
      <c r="D13" s="278"/>
      <c r="E13" s="263"/>
      <c r="F13" s="263"/>
      <c r="G13" s="264"/>
    </row>
    <row r="14" ht="10.5" customHeight="1" spans="2:8">
      <c r="B14" s="279"/>
      <c r="C14" s="280"/>
      <c r="D14" s="280"/>
      <c r="E14" s="280"/>
      <c r="F14" s="280"/>
      <c r="G14" s="281"/>
    </row>
  </sheetData>
  <mergeCells count="3">
    <mergeCell ref="B2:H2"/>
    <mergeCell ref="D6:F6"/>
    <mergeCell ref="D12:F12"/>
  </mergeCells>
  <dataValidations count="1">
    <dataValidation type="list" allowBlank="1" showInputMessage="1" showErrorMessage="1" sqref="D10">
      <formula1>Provincias</formula1>
    </dataValidation>
  </dataValidations>
  <pageMargins left="0.75" right="0.75" top="1" bottom="1" header="0.5" footer="0.5"/>
  <pageSetup paperSize="9" orientation="portrait" horizontalDpi="300" verticalDpi="3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Group Box 1" r:id="rId3">
              <controlPr defaultSize="0">
                <anchor moveWithCells="1" sizeWithCells="1">
                  <from>
                    <xdr:col>1</xdr:col>
                    <xdr:colOff>314325</xdr:colOff>
                    <xdr:row>4</xdr:row>
                    <xdr:rowOff>76200</xdr:rowOff>
                  </from>
                  <to>
                    <xdr:col>6</xdr:col>
                    <xdr:colOff>257175</xdr:colOff>
                    <xdr:row>12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2"/>
  <dimension ref="C1:P69"/>
  <sheetViews>
    <sheetView showGridLines="0" tabSelected="1" zoomScaleSheetLayoutView="60" workbookViewId="0">
      <pane xSplit="5" ySplit="6" topLeftCell="F7" activePane="bottomRight" state="frozenSplit"/>
      <selection/>
      <selection pane="topRight"/>
      <selection pane="bottomLeft"/>
      <selection pane="bottomRight" activeCell="R5" sqref="R5"/>
    </sheetView>
  </sheetViews>
  <sheetFormatPr defaultColWidth="11.4285714285714" defaultRowHeight="10.5"/>
  <cols>
    <col min="1" max="1" width="1.57142857142857" style="237" customWidth="1"/>
    <col min="2" max="2" width="3" style="237" hidden="1" customWidth="1"/>
    <col min="3" max="3" width="7.28571428571429" style="237"/>
    <col min="4" max="4" width="10.2857142857143" style="237" customWidth="1"/>
    <col min="5" max="5" width="19.4285714285714" style="237" customWidth="1"/>
    <col min="6" max="6" width="13.8571428571429" style="237" customWidth="1"/>
    <col min="7" max="7" width="10.8571428571429" style="237"/>
    <col min="8" max="8" width="10.7142857142857" style="237" hidden="1" customWidth="1"/>
    <col min="9" max="9" width="10.7142857142857" style="174"/>
    <col min="10" max="10" width="10.7142857142857" style="237" hidden="1" customWidth="1"/>
    <col min="11" max="11" width="10.1428571428571" style="174" customWidth="1"/>
    <col min="12" max="12" width="10.1428571428571" style="237" hidden="1" customWidth="1"/>
    <col min="13" max="13" width="11.8571428571429" style="237"/>
    <col min="14" max="14" width="12.8571428571429" style="238" customWidth="1"/>
    <col min="15" max="15" width="13.2857142857143" style="238" customWidth="1"/>
    <col min="16" max="16" width="15.1428571428571" style="237"/>
    <col min="17" max="16384" width="11.4285714285714" style="237"/>
  </cols>
  <sheetData>
    <row r="1" s="23" customFormat="1" ht="6" customHeight="1"/>
    <row r="2" s="169" customFormat="1" ht="21.75" customHeight="1" spans="3:16">
      <c r="C2" s="176" t="s">
        <v>165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3:16">
      <c r="I3" s="237"/>
      <c r="K3" s="237"/>
      <c r="M3" s="239"/>
      <c r="N3" s="237"/>
      <c r="O3" s="237"/>
    </row>
    <row r="4" spans="3:16"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</row>
    <row r="5" spans="3:16">
      <c r="G5" s="241" t="s">
        <v>166</v>
      </c>
      <c r="H5" s="242"/>
      <c r="I5" s="242"/>
      <c r="J5" s="242"/>
      <c r="K5" s="242"/>
      <c r="L5" s="243"/>
      <c r="N5" s="237"/>
      <c r="O5" s="237"/>
    </row>
    <row r="6" ht="31.5" spans="3:16">
      <c r="C6" s="186" t="s">
        <v>167</v>
      </c>
      <c r="D6" s="186" t="s">
        <v>168</v>
      </c>
      <c r="E6" s="186" t="s">
        <v>169</v>
      </c>
      <c r="F6" s="186" t="s">
        <v>170</v>
      </c>
      <c r="G6" s="201" t="s">
        <v>171</v>
      </c>
      <c r="H6" s="201" t="s">
        <v>172</v>
      </c>
      <c r="I6" s="201"/>
      <c r="J6" s="201" t="s">
        <v>173</v>
      </c>
      <c r="K6" s="201" t="s">
        <v>174</v>
      </c>
      <c r="L6" s="201" t="s">
        <v>175</v>
      </c>
      <c r="M6" s="186" t="s">
        <v>176</v>
      </c>
      <c r="N6" s="186" t="s">
        <v>177</v>
      </c>
      <c r="O6" s="186" t="s">
        <v>178</v>
      </c>
      <c r="P6" s="186" t="s">
        <v>179</v>
      </c>
    </row>
    <row r="7" hidden="1" spans="3:16">
      <c r="C7" s="244"/>
      <c r="D7" s="244"/>
      <c r="E7" s="244"/>
      <c r="F7" s="244"/>
      <c r="G7" s="244"/>
      <c r="H7" s="245"/>
      <c r="I7" s="245"/>
      <c r="J7" s="245"/>
      <c r="K7" s="245"/>
      <c r="L7" s="245"/>
      <c r="M7" s="245"/>
      <c r="N7" s="245"/>
      <c r="O7" s="245"/>
      <c r="P7" s="245"/>
    </row>
    <row r="8" spans="3:16">
      <c r="C8" s="246">
        <v>1</v>
      </c>
      <c r="D8" s="247">
        <v>40848</v>
      </c>
      <c r="E8" s="246" t="s">
        <v>180</v>
      </c>
      <c r="F8" s="246" t="s">
        <v>181</v>
      </c>
      <c r="G8" s="208"/>
      <c r="H8" s="248"/>
      <c r="I8" s="208"/>
      <c r="J8" s="248"/>
      <c r="K8" s="208"/>
      <c r="L8" s="248"/>
      <c r="M8" s="246"/>
      <c r="N8" s="249" t="s">
        <v>182</v>
      </c>
      <c r="O8" s="249" t="s">
        <v>183</v>
      </c>
      <c r="P8" s="246" t="s">
        <v>184</v>
      </c>
    </row>
    <row r="9" spans="3:16">
      <c r="C9" s="246">
        <v>2</v>
      </c>
      <c r="D9" s="247">
        <v>40910</v>
      </c>
      <c r="E9" s="246" t="s">
        <v>185</v>
      </c>
      <c r="F9" s="246" t="s">
        <v>186</v>
      </c>
      <c r="G9" s="208">
        <f>471.57+1571.95</f>
        <v>2043.52</v>
      </c>
      <c r="H9" s="248"/>
      <c r="I9" s="208"/>
      <c r="J9" s="248"/>
      <c r="K9" s="208"/>
      <c r="L9" s="248"/>
      <c r="M9" s="246"/>
      <c r="N9" s="249" t="s">
        <v>182</v>
      </c>
      <c r="O9" s="249" t="s">
        <v>183</v>
      </c>
      <c r="P9" s="246" t="s">
        <v>184</v>
      </c>
    </row>
    <row r="10" spans="3:16">
      <c r="C10" s="246"/>
      <c r="D10" s="247"/>
      <c r="E10" s="250"/>
      <c r="F10" s="246"/>
      <c r="G10" s="208"/>
      <c r="H10" s="248"/>
      <c r="I10" s="208"/>
      <c r="J10" s="248"/>
      <c r="K10" s="208"/>
      <c r="L10" s="248"/>
      <c r="M10" s="246"/>
      <c r="N10" s="249"/>
      <c r="O10" s="249"/>
      <c r="P10" s="246"/>
    </row>
    <row r="11" spans="3:16">
      <c r="C11" s="246"/>
      <c r="D11" s="247"/>
      <c r="E11" s="246"/>
      <c r="F11" s="246"/>
      <c r="G11" s="208"/>
      <c r="H11" s="248">
        <f>+G11*(30-Remuneración!AM11-Remuneración!J11-Remuneración!F11)/30</f>
        <v>0</v>
      </c>
      <c r="I11" s="208"/>
      <c r="J11" s="248">
        <f>+I11*(30-Remuneración!AM11-Remuneración!J11-Remuneración!F11)/30</f>
        <v>0</v>
      </c>
      <c r="K11" s="208"/>
      <c r="L11" s="248">
        <f>+K11*(30-Remuneración!AM11-Remuneración!J11-Remuneración!F11)/30</f>
        <v>0</v>
      </c>
      <c r="M11" s="246"/>
      <c r="N11" s="249"/>
      <c r="O11" s="249"/>
      <c r="P11" s="246"/>
    </row>
    <row r="12" spans="3:16">
      <c r="C12" s="246"/>
      <c r="D12" s="247"/>
      <c r="E12" s="246"/>
      <c r="F12" s="246"/>
      <c r="G12" s="208"/>
      <c r="H12" s="248">
        <f>+G12*(30-Remuneración!AM12-Remuneración!J12-Remuneración!F12)/30</f>
        <v>0</v>
      </c>
      <c r="I12" s="208"/>
      <c r="J12" s="248">
        <f>+I12*(30-Remuneración!AM12-Remuneración!J12-Remuneración!F12)/30</f>
        <v>0</v>
      </c>
      <c r="K12" s="208"/>
      <c r="L12" s="248">
        <f>+K12*(30-Remuneración!AM12-Remuneración!J12-Remuneración!F12)/30</f>
        <v>0</v>
      </c>
      <c r="M12" s="246"/>
      <c r="N12" s="249"/>
      <c r="O12" s="249"/>
      <c r="P12" s="246"/>
    </row>
    <row r="13" spans="3:16">
      <c r="C13" s="246"/>
      <c r="D13" s="247"/>
      <c r="E13" s="246"/>
      <c r="F13" s="246"/>
      <c r="G13" s="208"/>
      <c r="H13" s="248">
        <f>+G13*(30-Remuneración!AM13-Remuneración!J13-Remuneración!F13)/30</f>
        <v>0</v>
      </c>
      <c r="I13" s="208"/>
      <c r="J13" s="248">
        <f>+I13*(30-Remuneración!AM13-Remuneración!J13-Remuneración!F13)/30</f>
        <v>0</v>
      </c>
      <c r="K13" s="208"/>
      <c r="L13" s="248">
        <f>+K13*(30-Remuneración!AM13-Remuneración!J13-Remuneración!F13)/30</f>
        <v>0</v>
      </c>
      <c r="M13" s="246"/>
      <c r="N13" s="249"/>
      <c r="O13" s="249"/>
      <c r="P13" s="246"/>
    </row>
    <row r="14" spans="3:16">
      <c r="C14" s="246"/>
      <c r="D14" s="247"/>
      <c r="E14" s="246"/>
      <c r="F14" s="246"/>
      <c r="G14" s="208"/>
      <c r="H14" s="248">
        <f>+G14*(30-Remuneración!AM14-Remuneración!J14-Remuneración!F14)/30</f>
        <v>0</v>
      </c>
      <c r="I14" s="208"/>
      <c r="J14" s="248">
        <f>+I14*(30-Remuneración!AM14-Remuneración!J14-Remuneración!F14)/30</f>
        <v>0</v>
      </c>
      <c r="K14" s="208"/>
      <c r="L14" s="248">
        <f>+K14*(30-Remuneración!AM14-Remuneración!J14-Remuneración!F14)/30</f>
        <v>0</v>
      </c>
      <c r="M14" s="246"/>
      <c r="N14" s="249"/>
      <c r="O14" s="249"/>
      <c r="P14" s="246"/>
    </row>
    <row r="15" spans="3:16">
      <c r="C15" s="246"/>
      <c r="D15" s="247"/>
      <c r="E15" s="246"/>
      <c r="F15" s="246"/>
      <c r="G15" s="208"/>
      <c r="H15" s="248">
        <f>+G15*(30-Remuneración!AM15-Remuneración!J15-Remuneración!F15)/30</f>
        <v>0</v>
      </c>
      <c r="I15" s="208"/>
      <c r="J15" s="248">
        <f>+I15*(30-Remuneración!AM15-Remuneración!J15-Remuneración!F15)/30</f>
        <v>0</v>
      </c>
      <c r="K15" s="208"/>
      <c r="L15" s="248">
        <f>+K15*(30-Remuneración!AM15-Remuneración!J15-Remuneración!F15)/30</f>
        <v>0</v>
      </c>
      <c r="M15" s="246"/>
      <c r="N15" s="249"/>
      <c r="O15" s="249"/>
      <c r="P15" s="246"/>
    </row>
    <row r="16" spans="3:16">
      <c r="C16" s="246"/>
      <c r="D16" s="247"/>
      <c r="E16" s="246"/>
      <c r="F16" s="246"/>
      <c r="G16" s="208"/>
      <c r="H16" s="248">
        <f>+G16*(30-Remuneración!AM16-Remuneración!J16-Remuneración!F16)/30</f>
        <v>0</v>
      </c>
      <c r="I16" s="208"/>
      <c r="J16" s="248">
        <f>+I16*(30-Remuneración!AM16-Remuneración!J16-Remuneración!F16)/30</f>
        <v>0</v>
      </c>
      <c r="K16" s="208"/>
      <c r="L16" s="248">
        <f>+K16*(30-Remuneración!AM16-Remuneración!J16-Remuneración!F16)/30</f>
        <v>0</v>
      </c>
      <c r="M16" s="246"/>
      <c r="N16" s="249"/>
      <c r="O16" s="249"/>
      <c r="P16" s="246"/>
    </row>
    <row r="17" spans="3:16">
      <c r="C17" s="246"/>
      <c r="D17" s="247"/>
      <c r="E17" s="246"/>
      <c r="F17" s="246"/>
      <c r="G17" s="208"/>
      <c r="H17" s="248">
        <f>+G17*(30-Remuneración!AM17-Remuneración!J17-Remuneración!F17)/30</f>
        <v>0</v>
      </c>
      <c r="I17" s="208"/>
      <c r="J17" s="248">
        <f>+I17*(30-Remuneración!AM17-Remuneración!J17-Remuneración!F17)/30</f>
        <v>0</v>
      </c>
      <c r="K17" s="208"/>
      <c r="L17" s="248">
        <f>+K17*(30-Remuneración!AM17-Remuneración!J17-Remuneración!F17)/30</f>
        <v>0</v>
      </c>
      <c r="M17" s="246"/>
      <c r="N17" s="249"/>
      <c r="O17" s="249"/>
      <c r="P17" s="246"/>
    </row>
    <row r="18" spans="3:16">
      <c r="C18" s="246"/>
      <c r="D18" s="247"/>
      <c r="E18" s="246"/>
      <c r="F18" s="246"/>
      <c r="G18" s="208"/>
      <c r="H18" s="248">
        <f>+G18*(30-Remuneración!AM18-Remuneración!J18-Remuneración!F18)/30</f>
        <v>0</v>
      </c>
      <c r="I18" s="208"/>
      <c r="J18" s="248">
        <f>+I18*(30-Remuneración!AM18-Remuneración!J18-Remuneración!F18)/30</f>
        <v>0</v>
      </c>
      <c r="K18" s="208"/>
      <c r="L18" s="248">
        <f>+K18*(30-Remuneración!AM18-Remuneración!J18-Remuneración!F18)/30</f>
        <v>0</v>
      </c>
      <c r="M18" s="246"/>
      <c r="N18" s="249"/>
      <c r="O18" s="249"/>
      <c r="P18" s="246"/>
    </row>
    <row r="19" spans="3:16">
      <c r="C19" s="246"/>
      <c r="D19" s="247"/>
      <c r="E19" s="246"/>
      <c r="F19" s="246"/>
      <c r="G19" s="208"/>
      <c r="H19" s="248">
        <f>+G19*(30-Remuneración!AM19-Remuneración!J19-Remuneración!F19)/30</f>
        <v>0</v>
      </c>
      <c r="I19" s="208"/>
      <c r="J19" s="248">
        <f>+I19*(30-Remuneración!AM19-Remuneración!J19-Remuneración!F19)/30</f>
        <v>0</v>
      </c>
      <c r="K19" s="208"/>
      <c r="L19" s="248">
        <f>+K19*(30-Remuneración!AM19-Remuneración!J19-Remuneración!F19)/30</f>
        <v>0</v>
      </c>
      <c r="M19" s="246"/>
      <c r="N19" s="249"/>
      <c r="O19" s="249"/>
      <c r="P19" s="246"/>
    </row>
    <row r="20" spans="3:16">
      <c r="C20" s="246"/>
      <c r="D20" s="247"/>
      <c r="E20" s="246"/>
      <c r="F20" s="246"/>
      <c r="G20" s="208"/>
      <c r="H20" s="248">
        <f>+G20*(30-Remuneración!AM20-Remuneración!J20-Remuneración!F20)/30</f>
        <v>0</v>
      </c>
      <c r="I20" s="208"/>
      <c r="J20" s="248">
        <f>+I20*(30-Remuneración!AM20-Remuneración!J20-Remuneración!F20)/30</f>
        <v>0</v>
      </c>
      <c r="K20" s="208"/>
      <c r="L20" s="248">
        <f>+K20*(30-Remuneración!AM20-Remuneración!J20-Remuneración!F20)/30</f>
        <v>0</v>
      </c>
      <c r="M20" s="246"/>
      <c r="N20" s="249"/>
      <c r="O20" s="249"/>
      <c r="P20" s="246"/>
    </row>
    <row r="21" spans="3:16">
      <c r="C21" s="246"/>
      <c r="D21" s="247"/>
      <c r="E21" s="246"/>
      <c r="F21" s="246"/>
      <c r="G21" s="208"/>
      <c r="H21" s="248">
        <f>+G21*(30-Remuneración!AM21-Remuneración!J21-Remuneración!F21)/30</f>
        <v>0</v>
      </c>
      <c r="I21" s="208"/>
      <c r="J21" s="248">
        <f>+I21*(30-Remuneración!AM21-Remuneración!J21-Remuneración!F21)/30</f>
        <v>0</v>
      </c>
      <c r="K21" s="208"/>
      <c r="L21" s="248">
        <f>+K21*(30-Remuneración!AM21-Remuneración!J21-Remuneración!F21)/30</f>
        <v>0</v>
      </c>
      <c r="M21" s="246"/>
      <c r="N21" s="249"/>
      <c r="O21" s="249"/>
      <c r="P21" s="246"/>
    </row>
    <row r="22" spans="3:16">
      <c r="C22" s="246"/>
      <c r="D22" s="247"/>
      <c r="E22" s="246"/>
      <c r="F22" s="246"/>
      <c r="G22" s="208"/>
      <c r="H22" s="248">
        <f>+G22*(30-Remuneración!AM22-Remuneración!J22-Remuneración!F22)/30</f>
        <v>0</v>
      </c>
      <c r="I22" s="208"/>
      <c r="J22" s="248">
        <f>+I22*(30-Remuneración!AM22-Remuneración!J22-Remuneración!F22)/30</f>
        <v>0</v>
      </c>
      <c r="K22" s="208"/>
      <c r="L22" s="248">
        <f>+K22*(30-Remuneración!AM22-Remuneración!J22-Remuneración!F22)/30</f>
        <v>0</v>
      </c>
      <c r="M22" s="246"/>
      <c r="N22" s="249"/>
      <c r="O22" s="249"/>
      <c r="P22" s="246"/>
    </row>
    <row r="23" spans="3:16">
      <c r="C23" s="246"/>
      <c r="D23" s="247"/>
      <c r="E23" s="246"/>
      <c r="F23" s="246"/>
      <c r="G23" s="208"/>
      <c r="H23" s="248">
        <f>+G23*(30-Remuneración!AM23-Remuneración!J23-Remuneración!F23)/30</f>
        <v>0</v>
      </c>
      <c r="I23" s="208"/>
      <c r="J23" s="248">
        <f>+I23*(30-Remuneración!AM23-Remuneración!J23-Remuneración!F23)/30</f>
        <v>0</v>
      </c>
      <c r="K23" s="208"/>
      <c r="L23" s="248">
        <f>+K23*(30-Remuneración!AM23-Remuneración!J23-Remuneración!F23)/30</f>
        <v>0</v>
      </c>
      <c r="M23" s="246"/>
      <c r="N23" s="249"/>
      <c r="O23" s="249"/>
      <c r="P23" s="246"/>
    </row>
    <row r="24" spans="3:16">
      <c r="C24" s="246"/>
      <c r="D24" s="247"/>
      <c r="E24" s="246"/>
      <c r="F24" s="246"/>
      <c r="G24" s="208"/>
      <c r="H24" s="248">
        <f>+G24*(30-Remuneración!AM24-Remuneración!J24-Remuneración!F24)/30</f>
        <v>0</v>
      </c>
      <c r="I24" s="208"/>
      <c r="J24" s="248">
        <f>+I24*(30-Remuneración!AM24-Remuneración!J24-Remuneración!F24)/30</f>
        <v>0</v>
      </c>
      <c r="K24" s="208"/>
      <c r="L24" s="248">
        <f>+K24*(30-Remuneración!AM24-Remuneración!J24-Remuneración!F24)/30</f>
        <v>0</v>
      </c>
      <c r="M24" s="246"/>
      <c r="N24" s="249"/>
      <c r="O24" s="249"/>
      <c r="P24" s="246"/>
    </row>
    <row r="25" spans="3:16">
      <c r="C25" s="246"/>
      <c r="D25" s="247"/>
      <c r="E25" s="246"/>
      <c r="F25" s="246"/>
      <c r="G25" s="208"/>
      <c r="H25" s="248">
        <f>+G25*(30-Remuneración!AM25-Remuneración!J25-Remuneración!F25)/30</f>
        <v>0</v>
      </c>
      <c r="I25" s="208"/>
      <c r="J25" s="248">
        <f>+I25*(30-Remuneración!AM25-Remuneración!J25-Remuneración!F25)/30</f>
        <v>0</v>
      </c>
      <c r="K25" s="208"/>
      <c r="L25" s="248">
        <f>+K25*(30-Remuneración!AM25-Remuneración!J25-Remuneración!F25)/30</f>
        <v>0</v>
      </c>
      <c r="M25" s="246"/>
      <c r="N25" s="249"/>
      <c r="O25" s="249"/>
      <c r="P25" s="246"/>
    </row>
    <row r="26" spans="3:16">
      <c r="C26" s="246"/>
      <c r="D26" s="247"/>
      <c r="E26" s="246"/>
      <c r="F26" s="246"/>
      <c r="G26" s="208"/>
      <c r="H26" s="248">
        <f>+G26*(30-Remuneración!AM26-Remuneración!J26-Remuneración!F26)/30</f>
        <v>0</v>
      </c>
      <c r="I26" s="208"/>
      <c r="J26" s="248">
        <f>+I26*(30-Remuneración!AM26-Remuneración!J26-Remuneración!F26)/30</f>
        <v>0</v>
      </c>
      <c r="K26" s="208"/>
      <c r="L26" s="248">
        <f>+K26*(30-Remuneración!AM26-Remuneración!J26-Remuneración!F26)/30</f>
        <v>0</v>
      </c>
      <c r="M26" s="246"/>
      <c r="N26" s="249"/>
      <c r="O26" s="249"/>
      <c r="P26" s="246"/>
    </row>
    <row r="27" spans="3:16">
      <c r="C27" s="246"/>
      <c r="D27" s="247"/>
      <c r="E27" s="246"/>
      <c r="F27" s="246"/>
      <c r="G27" s="208"/>
      <c r="H27" s="248">
        <f>+G27*(30-Remuneración!AM27-Remuneración!J27-Remuneración!F27)/30</f>
        <v>0</v>
      </c>
      <c r="I27" s="208"/>
      <c r="J27" s="248">
        <f>+I27*(30-Remuneración!AM27-Remuneración!J27-Remuneración!F27)/30</f>
        <v>0</v>
      </c>
      <c r="K27" s="208"/>
      <c r="L27" s="248">
        <f>+K27*(30-Remuneración!AM27-Remuneración!J27-Remuneración!F27)/30</f>
        <v>0</v>
      </c>
      <c r="M27" s="246"/>
      <c r="N27" s="249"/>
      <c r="O27" s="249"/>
      <c r="P27" s="246"/>
    </row>
    <row r="28" spans="3:16">
      <c r="C28" s="246"/>
      <c r="D28" s="247"/>
      <c r="E28" s="246"/>
      <c r="F28" s="246"/>
      <c r="G28" s="208"/>
      <c r="H28" s="248">
        <f>+G28*(30-Remuneración!AM28-Remuneración!J28-Remuneración!F28)/30</f>
        <v>0</v>
      </c>
      <c r="I28" s="208"/>
      <c r="J28" s="248">
        <f>+I28*(30-Remuneración!AM28-Remuneración!J28-Remuneración!F28)/30</f>
        <v>0</v>
      </c>
      <c r="K28" s="208"/>
      <c r="L28" s="248">
        <f>+K28*(30-Remuneración!AM28-Remuneración!J28-Remuneración!F28)/30</f>
        <v>0</v>
      </c>
      <c r="M28" s="246"/>
      <c r="N28" s="249"/>
      <c r="O28" s="249"/>
      <c r="P28" s="246"/>
    </row>
    <row r="29" spans="3:16">
      <c r="C29" s="246"/>
      <c r="D29" s="247"/>
      <c r="E29" s="246"/>
      <c r="F29" s="246"/>
      <c r="G29" s="208"/>
      <c r="H29" s="248">
        <f>+G29*(30-Remuneración!AM29-Remuneración!J29-Remuneración!F29)/30</f>
        <v>0</v>
      </c>
      <c r="I29" s="208"/>
      <c r="J29" s="248">
        <f>+I29*(30-Remuneración!AM29-Remuneración!J29-Remuneración!F29)/30</f>
        <v>0</v>
      </c>
      <c r="K29" s="208"/>
      <c r="L29" s="248">
        <f>+K29*(30-Remuneración!AM29-Remuneración!J29-Remuneración!F29)/30</f>
        <v>0</v>
      </c>
      <c r="M29" s="246"/>
      <c r="N29" s="249"/>
      <c r="O29" s="249"/>
      <c r="P29" s="246"/>
    </row>
    <row r="30" spans="3:16">
      <c r="C30" s="246"/>
      <c r="D30" s="247"/>
      <c r="E30" s="246"/>
      <c r="F30" s="246"/>
      <c r="G30" s="208"/>
      <c r="H30" s="248">
        <f>+G30*(30-Remuneración!AM30-Remuneración!J30-Remuneración!F30)/30</f>
        <v>0</v>
      </c>
      <c r="I30" s="208"/>
      <c r="J30" s="248">
        <f>+I30*(30-Remuneración!AM30-Remuneración!J30-Remuneración!F30)/30</f>
        <v>0</v>
      </c>
      <c r="K30" s="208"/>
      <c r="L30" s="248">
        <f>+K30*(30-Remuneración!AM30-Remuneración!J30-Remuneración!F30)/30</f>
        <v>0</v>
      </c>
      <c r="M30" s="246"/>
      <c r="N30" s="249"/>
      <c r="O30" s="249"/>
      <c r="P30" s="246"/>
    </row>
    <row r="31" spans="3:16">
      <c r="C31" s="246"/>
      <c r="D31" s="247"/>
      <c r="E31" s="246"/>
      <c r="F31" s="246"/>
      <c r="G31" s="208"/>
      <c r="H31" s="248">
        <f>+G31*(30-Remuneración!AM31-Remuneración!J31-Remuneración!F31)/30</f>
        <v>0</v>
      </c>
      <c r="I31" s="208"/>
      <c r="J31" s="248">
        <f>+I31*(30-Remuneración!AM31-Remuneración!J31-Remuneración!F31)/30</f>
        <v>0</v>
      </c>
      <c r="K31" s="208"/>
      <c r="L31" s="248">
        <f>+K31*(30-Remuneración!AM31-Remuneración!J31-Remuneración!F31)/30</f>
        <v>0</v>
      </c>
      <c r="M31" s="246"/>
      <c r="N31" s="249"/>
      <c r="O31" s="249"/>
      <c r="P31" s="246"/>
    </row>
    <row r="32" spans="3:16">
      <c r="C32" s="246"/>
      <c r="D32" s="247"/>
      <c r="E32" s="246"/>
      <c r="F32" s="246"/>
      <c r="G32" s="208"/>
      <c r="H32" s="248">
        <f>+G32*(30-Remuneración!AM32-Remuneración!J32-Remuneración!F32)/30</f>
        <v>0</v>
      </c>
      <c r="I32" s="208"/>
      <c r="J32" s="248">
        <f>+I32*(30-Remuneración!AM32-Remuneración!J32-Remuneración!F32)/30</f>
        <v>0</v>
      </c>
      <c r="K32" s="208"/>
      <c r="L32" s="248">
        <f>+K32*(30-Remuneración!AM32-Remuneración!J32-Remuneración!F32)/30</f>
        <v>0</v>
      </c>
      <c r="M32" s="246"/>
      <c r="N32" s="249"/>
      <c r="O32" s="249"/>
      <c r="P32" s="246"/>
    </row>
    <row r="33" spans="3:16">
      <c r="C33" s="246"/>
      <c r="D33" s="247"/>
      <c r="E33" s="246"/>
      <c r="F33" s="246"/>
      <c r="G33" s="208"/>
      <c r="H33" s="248">
        <f>+G33*(30-Remuneración!AM33-Remuneración!J33-Remuneración!F33)/30</f>
        <v>0</v>
      </c>
      <c r="I33" s="208"/>
      <c r="J33" s="248">
        <f>+I33*(30-Remuneración!AM33-Remuneración!J33-Remuneración!F33)/30</f>
        <v>0</v>
      </c>
      <c r="K33" s="208"/>
      <c r="L33" s="248">
        <f>+K33*(30-Remuneración!AM33-Remuneración!J33-Remuneración!F33)/30</f>
        <v>0</v>
      </c>
      <c r="M33" s="246"/>
      <c r="N33" s="249"/>
      <c r="O33" s="249"/>
      <c r="P33" s="246"/>
    </row>
    <row r="34" spans="3:16">
      <c r="C34" s="246"/>
      <c r="D34" s="247"/>
      <c r="E34" s="246"/>
      <c r="F34" s="246"/>
      <c r="G34" s="208"/>
      <c r="H34" s="248">
        <f>+G34*(30-Remuneración!AM34-Remuneración!J34-Remuneración!F34)/30</f>
        <v>0</v>
      </c>
      <c r="I34" s="208"/>
      <c r="J34" s="248">
        <f>+I34*(30-Remuneración!AM34-Remuneración!J34-Remuneración!F34)/30</f>
        <v>0</v>
      </c>
      <c r="K34" s="208"/>
      <c r="L34" s="248">
        <f>+K34*(30-Remuneración!AM34-Remuneración!J34-Remuneración!F34)/30</f>
        <v>0</v>
      </c>
      <c r="M34" s="246"/>
      <c r="N34" s="249"/>
      <c r="O34" s="249"/>
      <c r="P34" s="246"/>
    </row>
    <row r="35" spans="3:16">
      <c r="C35" s="246"/>
      <c r="D35" s="247"/>
      <c r="E35" s="246"/>
      <c r="F35" s="246"/>
      <c r="G35" s="208"/>
      <c r="H35" s="248">
        <f>+G35*(30-Remuneración!AM35-Remuneración!J35-Remuneración!F35)/30</f>
        <v>0</v>
      </c>
      <c r="I35" s="208"/>
      <c r="J35" s="248">
        <f>+I35*(30-Remuneración!AM35-Remuneración!J35-Remuneración!F35)/30</f>
        <v>0</v>
      </c>
      <c r="K35" s="208"/>
      <c r="L35" s="248">
        <f>+K35*(30-Remuneración!AM35-Remuneración!J35-Remuneración!F35)/30</f>
        <v>0</v>
      </c>
      <c r="M35" s="246"/>
      <c r="N35" s="249"/>
      <c r="O35" s="249"/>
      <c r="P35" s="246"/>
    </row>
    <row r="36" spans="3:16">
      <c r="C36" s="246"/>
      <c r="D36" s="247"/>
      <c r="E36" s="246"/>
      <c r="F36" s="246"/>
      <c r="G36" s="208"/>
      <c r="H36" s="248">
        <f>+G36*(30-Remuneración!AM36-Remuneración!J36-Remuneración!F36)/30</f>
        <v>0</v>
      </c>
      <c r="I36" s="208"/>
      <c r="J36" s="248">
        <f>+I36*(30-Remuneración!AM36-Remuneración!J36-Remuneración!F36)/30</f>
        <v>0</v>
      </c>
      <c r="K36" s="208"/>
      <c r="L36" s="248">
        <f>+K36*(30-Remuneración!AM36-Remuneración!J36-Remuneración!F36)/30</f>
        <v>0</v>
      </c>
      <c r="M36" s="246"/>
      <c r="N36" s="249"/>
      <c r="O36" s="249"/>
      <c r="P36" s="246"/>
    </row>
    <row r="37" spans="3:16">
      <c r="C37" s="246"/>
      <c r="D37" s="247"/>
      <c r="E37" s="246"/>
      <c r="F37" s="246"/>
      <c r="G37" s="208"/>
      <c r="H37" s="248">
        <f>+G37*(30-Remuneración!AM37-Remuneración!J37-Remuneración!F37)/30</f>
        <v>0</v>
      </c>
      <c r="I37" s="208"/>
      <c r="J37" s="248">
        <f>+I37*(30-Remuneración!AM37-Remuneración!J37-Remuneración!F37)/30</f>
        <v>0</v>
      </c>
      <c r="K37" s="208"/>
      <c r="L37" s="248">
        <f>+K37*(30-Remuneración!AM37-Remuneración!J37-Remuneración!F37)/30</f>
        <v>0</v>
      </c>
      <c r="M37" s="246"/>
      <c r="N37" s="249"/>
      <c r="O37" s="249"/>
      <c r="P37" s="246"/>
    </row>
    <row r="38" spans="3:16">
      <c r="C38" s="246"/>
      <c r="D38" s="247"/>
      <c r="E38" s="246"/>
      <c r="F38" s="246"/>
      <c r="G38" s="208"/>
      <c r="H38" s="248">
        <f>+G38*(30-Remuneración!AM38-Remuneración!J38-Remuneración!F38)/30</f>
        <v>0</v>
      </c>
      <c r="I38" s="208"/>
      <c r="J38" s="248">
        <f>+I38*(30-Remuneración!AM38-Remuneración!J38-Remuneración!F38)/30</f>
        <v>0</v>
      </c>
      <c r="K38" s="208"/>
      <c r="L38" s="248">
        <f>+K38*(30-Remuneración!AM38-Remuneración!J38-Remuneración!F38)/30</f>
        <v>0</v>
      </c>
      <c r="M38" s="246"/>
      <c r="N38" s="249"/>
      <c r="O38" s="249"/>
      <c r="P38" s="246"/>
    </row>
    <row r="39" spans="3:16">
      <c r="C39" s="246"/>
      <c r="D39" s="247"/>
      <c r="E39" s="246"/>
      <c r="F39" s="246"/>
      <c r="G39" s="208"/>
      <c r="H39" s="248">
        <f>+G39*(30-Remuneración!AM39-Remuneración!J39-Remuneración!F39)/30</f>
        <v>0</v>
      </c>
      <c r="I39" s="208"/>
      <c r="J39" s="248">
        <f>+I39*(30-Remuneración!AM39-Remuneración!J39-Remuneración!F39)/30</f>
        <v>0</v>
      </c>
      <c r="K39" s="208"/>
      <c r="L39" s="248">
        <f>+K39*(30-Remuneración!AM39-Remuneración!J39-Remuneración!F39)/30</f>
        <v>0</v>
      </c>
      <c r="M39" s="246"/>
      <c r="N39" s="249"/>
      <c r="O39" s="249"/>
      <c r="P39" s="246"/>
    </row>
    <row r="40" spans="3:16">
      <c r="C40" s="246"/>
      <c r="D40" s="247"/>
      <c r="E40" s="246"/>
      <c r="F40" s="246"/>
      <c r="G40" s="208"/>
      <c r="H40" s="248">
        <f>+G40*(30-Remuneración!AM40-Remuneración!J40-Remuneración!F40)/30</f>
        <v>0</v>
      </c>
      <c r="I40" s="208"/>
      <c r="J40" s="248">
        <f>+I40*(30-Remuneración!AM40-Remuneración!J40-Remuneración!F40)/30</f>
        <v>0</v>
      </c>
      <c r="K40" s="208"/>
      <c r="L40" s="248">
        <f>+K40*(30-Remuneración!AM40-Remuneración!J40-Remuneración!F40)/30</f>
        <v>0</v>
      </c>
      <c r="M40" s="246"/>
      <c r="N40" s="249"/>
      <c r="O40" s="249"/>
      <c r="P40" s="246"/>
    </row>
    <row r="41" spans="3:16">
      <c r="C41" s="246"/>
      <c r="D41" s="247"/>
      <c r="E41" s="246"/>
      <c r="F41" s="246"/>
      <c r="G41" s="208"/>
      <c r="H41" s="248">
        <f>+G41*(30-Remuneración!AM41-Remuneración!J41-Remuneración!F41)/30</f>
        <v>0</v>
      </c>
      <c r="I41" s="208"/>
      <c r="J41" s="248">
        <f>+I41*(30-Remuneración!AM41-Remuneración!J41-Remuneración!F41)/30</f>
        <v>0</v>
      </c>
      <c r="K41" s="208"/>
      <c r="L41" s="248">
        <f>+K41*(30-Remuneración!AM41-Remuneración!J41-Remuneración!F41)/30</f>
        <v>0</v>
      </c>
      <c r="M41" s="246"/>
      <c r="N41" s="249"/>
      <c r="O41" s="249"/>
      <c r="P41" s="246"/>
    </row>
    <row r="42" spans="3:16">
      <c r="C42" s="246"/>
      <c r="D42" s="247"/>
      <c r="E42" s="246"/>
      <c r="F42" s="246"/>
      <c r="G42" s="208"/>
      <c r="H42" s="248">
        <f>+G42*(30-Remuneración!AM42-Remuneración!J42-Remuneración!F42)/30</f>
        <v>0</v>
      </c>
      <c r="I42" s="208"/>
      <c r="J42" s="248">
        <f>+I42*(30-Remuneración!AM42-Remuneración!J42-Remuneración!F42)/30</f>
        <v>0</v>
      </c>
      <c r="K42" s="208"/>
      <c r="L42" s="248">
        <f>+K42*(30-Remuneración!AM42-Remuneración!J42-Remuneración!F42)/30</f>
        <v>0</v>
      </c>
      <c r="M42" s="246"/>
      <c r="N42" s="249"/>
      <c r="O42" s="249"/>
      <c r="P42" s="246"/>
    </row>
    <row r="43" spans="3:16">
      <c r="C43" s="246"/>
      <c r="D43" s="247"/>
      <c r="E43" s="246"/>
      <c r="F43" s="246"/>
      <c r="G43" s="208"/>
      <c r="H43" s="248">
        <f>+G43*(30-Remuneración!AM43-Remuneración!J43-Remuneración!F43)/30</f>
        <v>0</v>
      </c>
      <c r="I43" s="208"/>
      <c r="J43" s="248">
        <f>+I43*(30-Remuneración!AM43-Remuneración!J43-Remuneración!F43)/30</f>
        <v>0</v>
      </c>
      <c r="K43" s="208"/>
      <c r="L43" s="248">
        <f>+K43*(30-Remuneración!AM43-Remuneración!J43-Remuneración!F43)/30</f>
        <v>0</v>
      </c>
      <c r="M43" s="246"/>
      <c r="N43" s="249"/>
      <c r="O43" s="249"/>
      <c r="P43" s="246"/>
    </row>
    <row r="44" spans="3:16">
      <c r="C44" s="246"/>
      <c r="D44" s="247"/>
      <c r="E44" s="246"/>
      <c r="F44" s="246"/>
      <c r="G44" s="208"/>
      <c r="H44" s="248">
        <f>+G44*(30-Remuneración!AM44-Remuneración!J44-Remuneración!F44)/30</f>
        <v>0</v>
      </c>
      <c r="I44" s="208"/>
      <c r="J44" s="248">
        <f>+I44*(30-Remuneración!AM44-Remuneración!J44-Remuneración!F44)/30</f>
        <v>0</v>
      </c>
      <c r="K44" s="208"/>
      <c r="L44" s="248">
        <f>+K44*(30-Remuneración!AM44-Remuneración!J44-Remuneración!F44)/30</f>
        <v>0</v>
      </c>
      <c r="M44" s="246"/>
      <c r="N44" s="249"/>
      <c r="O44" s="249"/>
      <c r="P44" s="246"/>
    </row>
    <row r="45" spans="3:16">
      <c r="C45" s="246"/>
      <c r="D45" s="247"/>
      <c r="E45" s="246"/>
      <c r="F45" s="246"/>
      <c r="G45" s="208"/>
      <c r="H45" s="248">
        <f>+G45*(30-Remuneración!AM45-Remuneración!J45-Remuneración!F45)/30</f>
        <v>0</v>
      </c>
      <c r="I45" s="208"/>
      <c r="J45" s="248">
        <f>+I45*(30-Remuneración!AM45-Remuneración!J45-Remuneración!F45)/30</f>
        <v>0</v>
      </c>
      <c r="K45" s="208"/>
      <c r="L45" s="248">
        <f>+K45*(30-Remuneración!AM45-Remuneración!J45-Remuneración!F45)/30</f>
        <v>0</v>
      </c>
      <c r="M45" s="246"/>
      <c r="N45" s="249"/>
      <c r="O45" s="249"/>
      <c r="P45" s="246"/>
    </row>
    <row r="46" spans="3:16">
      <c r="C46" s="246"/>
      <c r="D46" s="247"/>
      <c r="E46" s="246"/>
      <c r="F46" s="246"/>
      <c r="G46" s="208"/>
      <c r="H46" s="248">
        <f>+G46*(30-Remuneración!AM46-Remuneración!J46-Remuneración!F46)/30</f>
        <v>0</v>
      </c>
      <c r="I46" s="208"/>
      <c r="J46" s="248">
        <f>+I46*(30-Remuneración!AM46-Remuneración!J46-Remuneración!F46)/30</f>
        <v>0</v>
      </c>
      <c r="K46" s="208"/>
      <c r="L46" s="248">
        <f>+K46*(30-Remuneración!AM46-Remuneración!J46-Remuneración!F46)/30</f>
        <v>0</v>
      </c>
      <c r="M46" s="246"/>
      <c r="N46" s="249"/>
      <c r="O46" s="249"/>
      <c r="P46" s="246"/>
    </row>
    <row r="47" spans="3:16">
      <c r="C47" s="246"/>
      <c r="D47" s="247"/>
      <c r="E47" s="246"/>
      <c r="F47" s="246"/>
      <c r="G47" s="208"/>
      <c r="H47" s="248">
        <f>+G47*(30-Remuneración!AM47-Remuneración!J47-Remuneración!F47)/30</f>
        <v>0</v>
      </c>
      <c r="I47" s="208"/>
      <c r="J47" s="248">
        <f>+I47*(30-Remuneración!AM47-Remuneración!J47-Remuneración!F47)/30</f>
        <v>0</v>
      </c>
      <c r="K47" s="208"/>
      <c r="L47" s="248">
        <f>+K47*(30-Remuneración!AM47-Remuneración!J47-Remuneración!F47)/30</f>
        <v>0</v>
      </c>
      <c r="M47" s="246"/>
      <c r="N47" s="249"/>
      <c r="O47" s="249"/>
      <c r="P47" s="246"/>
    </row>
    <row r="48" spans="3:16">
      <c r="C48" s="246"/>
      <c r="D48" s="247"/>
      <c r="E48" s="246"/>
      <c r="F48" s="246"/>
      <c r="G48" s="208"/>
      <c r="H48" s="248">
        <f>+G48*(30-Remuneración!AM48-Remuneración!J48-Remuneración!F48)/30</f>
        <v>0</v>
      </c>
      <c r="I48" s="208"/>
      <c r="J48" s="248">
        <f>+I48*(30-Remuneración!AM48-Remuneración!J48-Remuneración!F48)/30</f>
        <v>0</v>
      </c>
      <c r="K48" s="208"/>
      <c r="L48" s="248">
        <f>+K48*(30-Remuneración!AM48-Remuneración!J48-Remuneración!F48)/30</f>
        <v>0</v>
      </c>
      <c r="M48" s="246"/>
      <c r="N48" s="249"/>
      <c r="O48" s="249"/>
      <c r="P48" s="246"/>
    </row>
    <row r="49" spans="3:16">
      <c r="C49" s="246"/>
      <c r="D49" s="247"/>
      <c r="E49" s="246"/>
      <c r="F49" s="246"/>
      <c r="G49" s="208"/>
      <c r="H49" s="248">
        <f>+G49*(30-Remuneración!AM49-Remuneración!J49-Remuneración!F49)/30</f>
        <v>0</v>
      </c>
      <c r="I49" s="208"/>
      <c r="J49" s="248">
        <f>+I49*(30-Remuneración!AM49-Remuneración!J49-Remuneración!F49)/30</f>
        <v>0</v>
      </c>
      <c r="K49" s="208"/>
      <c r="L49" s="248">
        <f>+K49*(30-Remuneración!AM49-Remuneración!J49-Remuneración!F49)/30</f>
        <v>0</v>
      </c>
      <c r="M49" s="246"/>
      <c r="N49" s="249"/>
      <c r="O49" s="249"/>
      <c r="P49" s="246"/>
    </row>
    <row r="50" spans="3:16">
      <c r="C50" s="246"/>
      <c r="D50" s="247"/>
      <c r="E50" s="246"/>
      <c r="F50" s="246"/>
      <c r="G50" s="208"/>
      <c r="H50" s="248">
        <f>+G50*(30-Remuneración!AM50-Remuneración!J50-Remuneración!F50)/30</f>
        <v>0</v>
      </c>
      <c r="I50" s="208"/>
      <c r="J50" s="248">
        <f>+I50*(30-Remuneración!AM50-Remuneración!J50-Remuneración!F50)/30</f>
        <v>0</v>
      </c>
      <c r="K50" s="208"/>
      <c r="L50" s="248">
        <f>+K50*(30-Remuneración!AM50-Remuneración!J50-Remuneración!F50)/30</f>
        <v>0</v>
      </c>
      <c r="M50" s="246"/>
      <c r="N50" s="249"/>
      <c r="O50" s="249"/>
      <c r="P50" s="246"/>
    </row>
    <row r="51" spans="3:16">
      <c r="C51" s="246"/>
      <c r="D51" s="247"/>
      <c r="E51" s="246"/>
      <c r="F51" s="246"/>
      <c r="G51" s="208"/>
      <c r="H51" s="248">
        <f>+G51*(30-Remuneración!AM51-Remuneración!J51-Remuneración!F51)/30</f>
        <v>0</v>
      </c>
      <c r="I51" s="208"/>
      <c r="J51" s="248">
        <f>+I51*(30-Remuneración!AM51-Remuneración!J51-Remuneración!F51)/30</f>
        <v>0</v>
      </c>
      <c r="K51" s="208"/>
      <c r="L51" s="248">
        <f>+K51*(30-Remuneración!AM51-Remuneración!J51-Remuneración!F51)/30</f>
        <v>0</v>
      </c>
      <c r="M51" s="246"/>
      <c r="N51" s="249"/>
      <c r="O51" s="249"/>
      <c r="P51" s="246"/>
    </row>
    <row r="52" spans="3:16">
      <c r="C52" s="246"/>
      <c r="D52" s="247"/>
      <c r="E52" s="246"/>
      <c r="F52" s="246"/>
      <c r="G52" s="208"/>
      <c r="H52" s="248">
        <f>+G52*(30-Remuneración!AM52-Remuneración!J52-Remuneración!F52)/30</f>
        <v>0</v>
      </c>
      <c r="I52" s="208"/>
      <c r="J52" s="248">
        <f>+I52*(30-Remuneración!AM52-Remuneración!J52-Remuneración!F52)/30</f>
        <v>0</v>
      </c>
      <c r="K52" s="208"/>
      <c r="L52" s="248">
        <f>+K52*(30-Remuneración!AM52-Remuneración!J52-Remuneración!F52)/30</f>
        <v>0</v>
      </c>
      <c r="M52" s="246"/>
      <c r="N52" s="249"/>
      <c r="O52" s="249"/>
      <c r="P52" s="246"/>
    </row>
    <row r="53" spans="3:16">
      <c r="C53" s="246"/>
      <c r="D53" s="247"/>
      <c r="E53" s="246"/>
      <c r="F53" s="246"/>
      <c r="G53" s="208"/>
      <c r="H53" s="248">
        <f>+G53*(30-Remuneración!AM53-Remuneración!J53-Remuneración!F53)/30</f>
        <v>0</v>
      </c>
      <c r="I53" s="208"/>
      <c r="J53" s="248">
        <f>+I53*(30-Remuneración!AM53-Remuneración!J53-Remuneración!F53)/30</f>
        <v>0</v>
      </c>
      <c r="K53" s="208"/>
      <c r="L53" s="248">
        <f>+K53*(30-Remuneración!AM53-Remuneración!J53-Remuneración!F53)/30</f>
        <v>0</v>
      </c>
      <c r="M53" s="246"/>
      <c r="N53" s="249"/>
      <c r="O53" s="249"/>
      <c r="P53" s="246"/>
    </row>
    <row r="54" spans="3:16">
      <c r="C54" s="246"/>
      <c r="D54" s="247"/>
      <c r="E54" s="246"/>
      <c r="F54" s="246"/>
      <c r="G54" s="208"/>
      <c r="H54" s="248">
        <f>+G54*(30-Remuneración!AM54-Remuneración!J54-Remuneración!F54)/30</f>
        <v>0</v>
      </c>
      <c r="I54" s="208"/>
      <c r="J54" s="248">
        <f>+I54*(30-Remuneración!AM54-Remuneración!J54-Remuneración!F54)/30</f>
        <v>0</v>
      </c>
      <c r="K54" s="208"/>
      <c r="L54" s="248">
        <f>+K54*(30-Remuneración!AM54-Remuneración!J54-Remuneración!F54)/30</f>
        <v>0</v>
      </c>
      <c r="M54" s="246"/>
      <c r="N54" s="249"/>
      <c r="O54" s="249"/>
      <c r="P54" s="246"/>
    </row>
    <row r="55" spans="3:16">
      <c r="C55" s="246"/>
      <c r="D55" s="247"/>
      <c r="E55" s="246"/>
      <c r="F55" s="246"/>
      <c r="G55" s="208"/>
      <c r="H55" s="248">
        <f>+G55*(30-Remuneración!AM55-Remuneración!J55-Remuneración!F55)/30</f>
        <v>0</v>
      </c>
      <c r="I55" s="208"/>
      <c r="J55" s="248">
        <f>+I55*(30-Remuneración!AM55-Remuneración!J55-Remuneración!F55)/30</f>
        <v>0</v>
      </c>
      <c r="K55" s="208"/>
      <c r="L55" s="248">
        <f>+K55*(30-Remuneración!AM55-Remuneración!J55-Remuneración!F55)/30</f>
        <v>0</v>
      </c>
      <c r="M55" s="246"/>
      <c r="N55" s="249"/>
      <c r="O55" s="249"/>
      <c r="P55" s="246"/>
    </row>
    <row r="56" spans="3:16">
      <c r="C56" s="246"/>
      <c r="D56" s="247"/>
      <c r="E56" s="246"/>
      <c r="F56" s="246"/>
      <c r="G56" s="208"/>
      <c r="H56" s="248">
        <f>+G56*(30-Remuneración!AM56-Remuneración!J56-Remuneración!F56)/30</f>
        <v>0</v>
      </c>
      <c r="I56" s="208"/>
      <c r="J56" s="248">
        <f>+I56*(30-Remuneración!AM56-Remuneración!J56-Remuneración!F56)/30</f>
        <v>0</v>
      </c>
      <c r="K56" s="208"/>
      <c r="L56" s="248">
        <f>+K56*(30-Remuneración!AM56-Remuneración!J56-Remuneración!F56)/30</f>
        <v>0</v>
      </c>
      <c r="M56" s="246"/>
      <c r="N56" s="249"/>
      <c r="O56" s="249"/>
      <c r="P56" s="246"/>
    </row>
    <row r="57" spans="3:16">
      <c r="C57" s="246"/>
      <c r="D57" s="247"/>
      <c r="E57" s="246"/>
      <c r="F57" s="246"/>
      <c r="G57" s="208"/>
      <c r="H57" s="248">
        <f>+G57*(30-Remuneración!AM58-Remuneración!J58-Remuneración!F58)/30</f>
        <v>0</v>
      </c>
      <c r="I57" s="208"/>
      <c r="J57" s="248">
        <f>+I57*(30-Remuneración!AM58-Remuneración!J58-Remuneración!F58)/30</f>
        <v>0</v>
      </c>
      <c r="K57" s="208"/>
      <c r="L57" s="248">
        <f>+K57*(30-Remuneración!AM58-Remuneración!J58-Remuneración!F58)/30</f>
        <v>0</v>
      </c>
      <c r="M57" s="246"/>
      <c r="N57" s="249"/>
      <c r="O57" s="249"/>
      <c r="P57" s="246"/>
    </row>
    <row r="58" spans="3:16">
      <c r="D58" s="251"/>
      <c r="G58" s="252"/>
      <c r="H58" s="252"/>
      <c r="I58" s="210"/>
      <c r="J58" s="252"/>
      <c r="K58" s="210"/>
      <c r="L58" s="252"/>
      <c r="M58" s="174"/>
      <c r="N58" s="253"/>
      <c r="O58" s="253"/>
      <c r="P58" s="174"/>
    </row>
    <row r="59" spans="3:16">
      <c r="D59" s="254"/>
      <c r="G59" s="252"/>
      <c r="H59" s="252"/>
      <c r="I59" s="210"/>
      <c r="J59" s="252"/>
      <c r="K59" s="210"/>
      <c r="L59" s="252"/>
      <c r="M59" s="174"/>
      <c r="N59" s="253"/>
      <c r="O59" s="253"/>
      <c r="P59" s="174"/>
    </row>
    <row r="60" spans="3:16">
      <c r="G60" s="252"/>
      <c r="H60" s="252"/>
      <c r="I60" s="210"/>
      <c r="J60" s="252"/>
      <c r="K60" s="210"/>
      <c r="L60" s="252"/>
      <c r="M60" s="174"/>
      <c r="N60" s="253"/>
      <c r="O60" s="253"/>
      <c r="P60" s="174"/>
    </row>
    <row r="61" spans="3:16">
      <c r="G61" s="252"/>
      <c r="H61" s="252"/>
      <c r="I61" s="210"/>
      <c r="J61" s="252"/>
      <c r="K61" s="210"/>
      <c r="L61" s="252"/>
      <c r="M61" s="174"/>
      <c r="N61" s="253"/>
      <c r="O61" s="253"/>
      <c r="P61" s="174"/>
    </row>
    <row r="62" spans="3:16">
      <c r="G62" s="252"/>
      <c r="H62" s="252"/>
      <c r="I62" s="210"/>
      <c r="J62" s="252"/>
      <c r="K62" s="210"/>
      <c r="L62" s="252"/>
    </row>
    <row r="63" spans="3:16">
      <c r="G63" s="252"/>
      <c r="H63" s="252"/>
      <c r="I63" s="210"/>
      <c r="J63" s="252"/>
      <c r="K63" s="210"/>
      <c r="L63" s="252"/>
    </row>
    <row r="64" spans="3:16">
      <c r="G64" s="252"/>
      <c r="H64" s="252"/>
      <c r="I64" s="210"/>
      <c r="J64" s="252"/>
      <c r="K64" s="210"/>
      <c r="L64" s="252"/>
    </row>
    <row r="65" spans="7:12">
      <c r="G65" s="252"/>
      <c r="H65" s="252"/>
      <c r="I65" s="210"/>
      <c r="J65" s="252"/>
      <c r="K65" s="210"/>
      <c r="L65" s="252"/>
    </row>
    <row r="66" spans="7:12">
      <c r="G66" s="252"/>
      <c r="H66" s="252"/>
      <c r="I66" s="210"/>
      <c r="J66" s="252"/>
      <c r="K66" s="210"/>
      <c r="L66" s="252"/>
    </row>
    <row r="67" spans="7:12">
      <c r="G67" s="252"/>
      <c r="H67" s="252"/>
      <c r="I67" s="210"/>
      <c r="J67" s="252"/>
      <c r="K67" s="210"/>
      <c r="L67" s="252"/>
    </row>
    <row r="68" spans="7:12">
      <c r="G68" s="252"/>
      <c r="H68" s="252"/>
      <c r="I68" s="210"/>
      <c r="J68" s="252"/>
      <c r="K68" s="210"/>
      <c r="L68" s="252"/>
    </row>
    <row r="69" spans="7:12">
      <c r="G69" s="252"/>
      <c r="H69" s="252"/>
      <c r="I69" s="210"/>
      <c r="J69" s="252"/>
      <c r="K69" s="210"/>
      <c r="L69" s="252"/>
    </row>
  </sheetData>
  <mergeCells count="2">
    <mergeCell ref="C2:M2"/>
    <mergeCell ref="G5:K5"/>
  </mergeCells>
  <dataValidations count="2">
    <dataValidation type="whole" operator="notEqual" showInputMessage="1" showErrorMessage="1" sqref="C7">
      <formula1>ListaLegajo</formula1>
    </dataValidation>
    <dataValidation type="list" allowBlank="1" showInputMessage="1" sqref="P8:P57">
      <formula1>AFJPs</formula1>
    </dataValidation>
  </dataValidations>
  <pageMargins left="0.75" right="0.75" top="1" bottom="1" header="0" footer="0"/>
  <pageSetup paperSize="9" orientation="portrait" horizontalDpi="300" verticalDpi="300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3">
    <pageSetUpPr fitToPage="1"/>
  </sheetPr>
  <dimension ref="B1:AP60"/>
  <sheetViews>
    <sheetView showGridLines="0" zoomScaleSheetLayoutView="60" workbookViewId="0">
      <pane xSplit="3" ySplit="7" topLeftCell="D8" activePane="bottomRight" state="frozenSplit"/>
      <selection/>
      <selection pane="topRight"/>
      <selection pane="bottomLeft"/>
      <selection pane="bottomRight" activeCell="D8" sqref="D8"/>
    </sheetView>
  </sheetViews>
  <sheetFormatPr defaultColWidth="9.14285714285714" defaultRowHeight="10.5"/>
  <cols>
    <col min="1" max="1" width="1.71428571428571" style="174" customWidth="1"/>
    <col min="2" max="2" width="8.14285714285714" style="174"/>
    <col min="3" max="3" width="14.7142857142857" style="174"/>
    <col min="4" max="4" width="13.8571428571429" style="211" customWidth="1"/>
    <col min="5" max="5" width="12.7142857142857" style="211" customWidth="1"/>
    <col min="6" max="6" width="5.71428571428571" style="211"/>
    <col min="7" max="7" width="12.2857142857143" style="211" customWidth="1"/>
    <col min="8" max="8" width="5.71428571428571" style="211"/>
    <col min="9" max="9" width="11.8571428571429" style="211"/>
    <col min="10" max="10" width="6.28571428571429" style="211"/>
    <col min="11" max="11" width="11.8571428571429" style="211" customWidth="1"/>
    <col min="12" max="12" width="9.28571428571429" style="182"/>
    <col min="13" max="13" width="9.28571428571429" style="211"/>
    <col min="14" max="14" width="7.85714285714286" style="182"/>
    <col min="15" max="15" width="9.28571428571429" style="211"/>
    <col min="16" max="16" width="7.85714285714286" style="182" hidden="1" customWidth="1"/>
    <col min="17" max="17" width="9" style="211" hidden="1" customWidth="1"/>
    <col min="18" max="18" width="7.85714285714286" style="182"/>
    <col min="19" max="19" width="10.2857142857143" style="211" customWidth="1"/>
    <col min="20" max="20" width="7.85714285714286" style="182"/>
    <col min="21" max="21" width="9.28571428571429" style="211"/>
    <col min="22" max="22" width="7.85714285714286" style="182" hidden="1" customWidth="1"/>
    <col min="23" max="23" width="8.57142857142857" style="211" hidden="1" customWidth="1"/>
    <col min="24" max="24" width="7.85714285714286" style="182" hidden="1" customWidth="1"/>
    <col min="25" max="25" width="9.28571428571429" style="211" hidden="1" customWidth="1"/>
    <col min="26" max="26" width="10.7142857142857" style="211" customWidth="1"/>
    <col min="27" max="27" width="9.71428571428571" style="211" customWidth="1"/>
    <col min="28" max="28" width="10.2857142857143" style="211" customWidth="1"/>
    <col min="29" max="31" width="9.71428571428571" style="211" customWidth="1"/>
    <col min="32" max="32" width="3.71428571428571" style="196" customWidth="1"/>
    <col min="33" max="33" width="8.28571428571429" style="210"/>
    <col min="34" max="34" width="9.85714285714286" style="211"/>
    <col min="35" max="35" width="4" style="196" customWidth="1"/>
    <col min="36" max="36" width="9.28571428571429" style="210"/>
    <col min="37" max="37" width="9.85714285714286" style="211"/>
    <col min="38" max="38" width="10.8571428571429" style="212"/>
    <col min="39" max="39" width="5.71428571428571" style="212"/>
    <col min="40" max="40" width="11.4285714285714" style="212"/>
    <col min="41" max="41" width="11.4285714285714" style="212" hidden="1" customWidth="1"/>
    <col min="42" max="42" width="14.2857142857143" style="213" customWidth="1"/>
    <col min="43" max="16384" width="9.14285714285714" style="211"/>
  </cols>
  <sheetData>
    <row r="1" s="23" customFormat="1" ht="6" customHeight="1" spans="2:42">
      <c r="L1" s="24"/>
      <c r="N1" s="24"/>
      <c r="P1" s="24"/>
      <c r="R1" s="24"/>
      <c r="T1" s="24"/>
      <c r="V1" s="24"/>
      <c r="X1" s="24"/>
      <c r="AP1" s="25"/>
    </row>
    <row r="2" s="169" customFormat="1" ht="21.75" customHeight="1" spans="2:42">
      <c r="B2" s="176" t="s">
        <v>187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R2" s="175"/>
      <c r="T2" s="175"/>
      <c r="V2" s="175"/>
      <c r="X2" s="175"/>
      <c r="AP2" s="177"/>
    </row>
    <row r="3" s="171" customFormat="1" ht="12.75" customHeight="1" spans="2:42">
      <c r="B3" s="214"/>
      <c r="C3" s="214"/>
      <c r="K3" s="215"/>
      <c r="L3" s="216"/>
      <c r="M3" s="214"/>
      <c r="N3" s="217"/>
      <c r="O3" s="214"/>
      <c r="P3" s="217"/>
      <c r="R3" s="172"/>
      <c r="T3" s="172"/>
      <c r="V3" s="172"/>
      <c r="X3" s="172"/>
      <c r="AP3" s="218"/>
    </row>
    <row r="4" s="174" customFormat="1" ht="12" spans="2:42">
      <c r="B4" s="219" t="s">
        <v>188</v>
      </c>
      <c r="C4" s="220">
        <v>41000</v>
      </c>
      <c r="L4" s="182"/>
      <c r="N4" s="182"/>
      <c r="P4" s="182"/>
      <c r="R4" s="182"/>
      <c r="T4" s="182"/>
      <c r="V4" s="182"/>
      <c r="X4" s="182"/>
      <c r="AP4" s="173"/>
    </row>
    <row r="5" s="170" customFormat="1" ht="11.25" spans="2:42">
      <c r="B5" s="178"/>
      <c r="C5" s="179"/>
      <c r="D5" s="178"/>
      <c r="E5" s="179"/>
      <c r="F5" s="178"/>
      <c r="G5" s="179"/>
      <c r="H5" s="178"/>
      <c r="I5" s="179"/>
      <c r="J5" s="178"/>
      <c r="K5" s="179"/>
      <c r="L5" s="178"/>
      <c r="M5" s="179"/>
      <c r="N5" s="178"/>
      <c r="O5" s="179"/>
      <c r="P5" s="178"/>
      <c r="Q5" s="179"/>
      <c r="R5" s="178"/>
      <c r="S5" s="179"/>
      <c r="T5" s="178"/>
      <c r="U5" s="179"/>
      <c r="V5" s="178"/>
      <c r="W5" s="179"/>
      <c r="X5" s="178"/>
      <c r="Y5" s="179"/>
      <c r="Z5" s="178"/>
      <c r="AA5" s="179"/>
      <c r="AB5" s="178"/>
      <c r="AC5" s="179"/>
      <c r="AD5" s="178"/>
      <c r="AE5" s="179"/>
      <c r="AF5" s="178"/>
      <c r="AG5" s="179"/>
      <c r="AH5" s="178"/>
      <c r="AI5" s="179"/>
      <c r="AJ5" s="178"/>
      <c r="AK5" s="179"/>
      <c r="AL5" s="178"/>
      <c r="AM5" s="179"/>
      <c r="AN5" s="178"/>
      <c r="AO5" s="179"/>
      <c r="AP5" s="178"/>
    </row>
    <row r="6" s="174" customFormat="1" ht="12.75" customHeight="1" spans="2:42">
      <c r="F6" s="221" t="s">
        <v>189</v>
      </c>
      <c r="G6" s="221"/>
      <c r="H6" s="222" t="s">
        <v>190</v>
      </c>
      <c r="I6" s="223"/>
      <c r="J6" s="222" t="s">
        <v>191</v>
      </c>
      <c r="K6" s="223"/>
      <c r="L6" s="222" t="s">
        <v>77</v>
      </c>
      <c r="M6" s="223"/>
      <c r="N6" s="222" t="s">
        <v>192</v>
      </c>
      <c r="O6" s="223"/>
      <c r="P6" s="222" t="s">
        <v>193</v>
      </c>
      <c r="Q6" s="223"/>
      <c r="R6" s="222" t="s">
        <v>194</v>
      </c>
      <c r="S6" s="223"/>
      <c r="T6" s="222" t="s">
        <v>195</v>
      </c>
      <c r="U6" s="223"/>
      <c r="V6" s="222" t="s">
        <v>196</v>
      </c>
      <c r="W6" s="223"/>
      <c r="X6" s="222" t="s">
        <v>197</v>
      </c>
      <c r="Y6" s="223"/>
      <c r="Z6" s="224"/>
      <c r="AA6" s="224"/>
      <c r="AB6" s="224"/>
      <c r="AC6" s="224"/>
      <c r="AD6" s="224"/>
      <c r="AE6" s="224"/>
      <c r="AF6" s="225" t="s">
        <v>198</v>
      </c>
      <c r="AG6" s="226"/>
      <c r="AH6" s="227"/>
      <c r="AI6" s="225" t="s">
        <v>199</v>
      </c>
      <c r="AJ6" s="226"/>
      <c r="AK6" s="227"/>
      <c r="AL6" s="228" t="s">
        <v>200</v>
      </c>
      <c r="AM6" s="228"/>
      <c r="AN6" s="228"/>
      <c r="AO6" s="229"/>
      <c r="AP6" s="173"/>
    </row>
    <row r="7" s="174" customFormat="1" ht="42" spans="2:42">
      <c r="B7" s="186" t="s">
        <v>167</v>
      </c>
      <c r="C7" s="186" t="s">
        <v>169</v>
      </c>
      <c r="D7" s="186" t="s">
        <v>166</v>
      </c>
      <c r="E7" s="186" t="s">
        <v>201</v>
      </c>
      <c r="F7" s="186" t="s">
        <v>202</v>
      </c>
      <c r="G7" s="186" t="s">
        <v>203</v>
      </c>
      <c r="H7" s="186" t="s">
        <v>202</v>
      </c>
      <c r="I7" s="186" t="s">
        <v>190</v>
      </c>
      <c r="J7" s="186" t="s">
        <v>202</v>
      </c>
      <c r="K7" s="186" t="s">
        <v>204</v>
      </c>
      <c r="L7" s="186" t="s">
        <v>82</v>
      </c>
      <c r="M7" s="186" t="s">
        <v>204</v>
      </c>
      <c r="N7" s="186" t="s">
        <v>82</v>
      </c>
      <c r="O7" s="186" t="s">
        <v>204</v>
      </c>
      <c r="P7" s="186" t="s">
        <v>82</v>
      </c>
      <c r="Q7" s="186" t="s">
        <v>204</v>
      </c>
      <c r="R7" s="186" t="s">
        <v>82</v>
      </c>
      <c r="S7" s="186" t="s">
        <v>204</v>
      </c>
      <c r="T7" s="186"/>
      <c r="U7" s="186" t="s">
        <v>204</v>
      </c>
      <c r="V7" s="186" t="s">
        <v>82</v>
      </c>
      <c r="W7" s="186" t="s">
        <v>204</v>
      </c>
      <c r="X7" s="186" t="s">
        <v>82</v>
      </c>
      <c r="Y7" s="186" t="s">
        <v>204</v>
      </c>
      <c r="Z7" s="201" t="s">
        <v>205</v>
      </c>
      <c r="AA7" s="201" t="s">
        <v>206</v>
      </c>
      <c r="AB7" s="201" t="s">
        <v>207</v>
      </c>
      <c r="AC7" s="186" t="s">
        <v>208</v>
      </c>
      <c r="AD7" s="186" t="s">
        <v>209</v>
      </c>
      <c r="AE7" s="186" t="s">
        <v>210</v>
      </c>
      <c r="AF7" s="186" t="s">
        <v>211</v>
      </c>
      <c r="AG7" s="186" t="s">
        <v>212</v>
      </c>
      <c r="AH7" s="186" t="s">
        <v>213</v>
      </c>
      <c r="AI7" s="186" t="s">
        <v>211</v>
      </c>
      <c r="AJ7" s="186" t="s">
        <v>212</v>
      </c>
      <c r="AK7" s="186" t="s">
        <v>214</v>
      </c>
      <c r="AL7" s="186" t="s">
        <v>215</v>
      </c>
      <c r="AM7" s="186" t="s">
        <v>202</v>
      </c>
      <c r="AN7" s="186" t="s">
        <v>216</v>
      </c>
      <c r="AO7" s="186" t="s">
        <v>217</v>
      </c>
      <c r="AP7" s="186" t="s">
        <v>218</v>
      </c>
    </row>
    <row r="8" spans="2:42">
      <c r="B8" s="230">
        <f>IF(Empleados!C8="","",Empleados!C8)</f>
        <v>1</v>
      </c>
      <c r="C8" s="230" t="str">
        <f>IF(Empleados!E8="","",Empleados!E8)</f>
        <v>ARANIBAR CLAUDIA CRISTINA</v>
      </c>
      <c r="D8" s="204" t="s">
        <v>219</v>
      </c>
      <c r="E8" s="204" t="e">
        <f>D8*(30-H8-AM8)/30</f>
        <v>#VALUE!</v>
      </c>
      <c r="F8" s="231"/>
      <c r="G8" s="204">
        <f t="shared" ref="G8:G13" si="0">IF(F8="",0,IF(ISERROR(F8*D8/30),0,F8*D8/30))</f>
        <v>0</v>
      </c>
      <c r="H8" s="232"/>
      <c r="I8" s="204">
        <f>IF(H8="",0,IF(ISERROR(H8*$D8/30),0,H8*$D8/30))</f>
        <v>0</v>
      </c>
      <c r="J8" s="232"/>
      <c r="K8" s="204">
        <f>IF(J8="",0,IF(ISERROR(J8*$D8/25),0,J8*$D8/25))</f>
        <v>0</v>
      </c>
      <c r="L8" s="205"/>
      <c r="M8" s="204" t="e">
        <f>IF(AND($D8="",L8=""),0,L8*$E8)</f>
        <v>#VALUE!</v>
      </c>
      <c r="N8" s="205"/>
      <c r="O8" s="204" t="e">
        <f>IF(AND($D8="",N8=""),0,N8*$E8)</f>
        <v>#VALUE!</v>
      </c>
      <c r="P8" s="205"/>
      <c r="Q8" s="204" t="e">
        <f t="shared" ref="Q8:Q39" si="1">IF(AND($D8="",P8=""),0,P8*$E8)</f>
        <v>#VALUE!</v>
      </c>
      <c r="R8" s="205">
        <v>0.0833</v>
      </c>
      <c r="S8" s="233" t="e">
        <f t="shared" ref="S8:S39" si="2">IF(AND($D8="",R8=""),0,R8*$E8)</f>
        <v>#VALUE!</v>
      </c>
      <c r="T8" s="205"/>
      <c r="U8" s="204" t="e">
        <f t="shared" ref="U8:U39" si="3">IF(AND($D8="",T8=""),0,T8*$E8)</f>
        <v>#VALUE!</v>
      </c>
      <c r="V8" s="205"/>
      <c r="W8" s="204" t="e">
        <f t="shared" ref="W8:W39" si="4">IF(AND($D8="",V8=""),0,V8*$E8)</f>
        <v>#VALUE!</v>
      </c>
      <c r="X8" s="205"/>
      <c r="Y8" s="204" t="e">
        <f t="shared" ref="Y8:Y39" si="5">IF(AND($D8="",X8=""),0,X8*$E8)</f>
        <v>#VALUE!</v>
      </c>
      <c r="Z8" s="207"/>
      <c r="AA8" s="207"/>
      <c r="AB8" s="208"/>
      <c r="AC8" s="207"/>
      <c r="AD8" s="207"/>
      <c r="AE8" s="207"/>
      <c r="AF8" s="234"/>
      <c r="AG8" s="208"/>
      <c r="AH8" s="204">
        <f>IF(AG8="",0,AF8*AG8)</f>
        <v>0</v>
      </c>
      <c r="AI8" s="234"/>
      <c r="AJ8" s="235"/>
      <c r="AK8" s="204">
        <f>IF(AJ8="",0,AI8*AJ8)</f>
        <v>0</v>
      </c>
      <c r="AL8" s="207"/>
      <c r="AM8" s="231"/>
      <c r="AN8" s="207"/>
      <c r="AO8" s="231">
        <f>30-AM8-J8-F8-H8</f>
        <v>30</v>
      </c>
      <c r="AP8" s="204" t="e">
        <f>E8+M8+O8+Q8+S8+U8+W8+Y8+SUM(Z8:AE8)+AH8+AK8+G8+K8</f>
        <v>#VALUE!</v>
      </c>
    </row>
    <row r="9" spans="2:42">
      <c r="B9" s="230">
        <f>IF(Empleados!C9="","",Empleados!C9)</f>
        <v>2</v>
      </c>
      <c r="C9" s="230" t="str">
        <f>IF(Empleados!E9="","",Empleados!E9)</f>
        <v>QUIROGA VANINA LEONELA</v>
      </c>
      <c r="D9" s="204">
        <f>Empleados!G9+Empleados!I9+Empleados!K9</f>
        <v>2043.52</v>
      </c>
      <c r="E9" s="204">
        <f t="shared" ref="E9:E58" si="6">D9*(30-H9-AM9)/30</f>
        <v>2043.52</v>
      </c>
      <c r="F9" s="231"/>
      <c r="G9" s="204">
        <f t="shared" si="0"/>
        <v>0</v>
      </c>
      <c r="H9" s="232"/>
      <c r="I9" s="204">
        <f t="shared" ref="I9:I58" si="7">IF(H9="",0,IF(ISERROR(H9*$D9/30),0,H9*$D9/30))</f>
        <v>0</v>
      </c>
      <c r="J9" s="232"/>
      <c r="K9" s="204">
        <f t="shared" ref="K9:K58" si="8">IF(J9="",0,IF(ISERROR(J9*$D9/30),0,J9*$D9/30))</f>
        <v>0</v>
      </c>
      <c r="L9" s="205"/>
      <c r="M9" s="204">
        <f t="shared" ref="M9:O58" si="9">IF(AND($D9="",L9=""),0,L9*$E9)</f>
        <v>0</v>
      </c>
      <c r="N9" s="205"/>
      <c r="O9" s="204">
        <f t="shared" si="9"/>
        <v>0</v>
      </c>
      <c r="P9" s="205"/>
      <c r="Q9" s="204">
        <f t="shared" si="1"/>
        <v>0</v>
      </c>
      <c r="R9" s="205">
        <v>0.0833</v>
      </c>
      <c r="S9" s="233">
        <f t="shared" si="2"/>
        <v>170.225216</v>
      </c>
      <c r="T9" s="205"/>
      <c r="U9" s="204">
        <f t="shared" si="3"/>
        <v>0</v>
      </c>
      <c r="V9" s="205"/>
      <c r="W9" s="204">
        <f t="shared" si="4"/>
        <v>0</v>
      </c>
      <c r="X9" s="205"/>
      <c r="Y9" s="204">
        <f t="shared" si="5"/>
        <v>0</v>
      </c>
      <c r="Z9" s="207"/>
      <c r="AA9" s="207"/>
      <c r="AB9" s="208"/>
      <c r="AC9" s="207"/>
      <c r="AD9" s="207"/>
      <c r="AE9" s="207"/>
      <c r="AF9" s="234"/>
      <c r="AG9" s="208"/>
      <c r="AH9" s="204">
        <f t="shared" ref="AH9:AH58" si="10">IF(AG9="",0,AF9*AG9)</f>
        <v>0</v>
      </c>
      <c r="AI9" s="234"/>
      <c r="AJ9" s="208"/>
      <c r="AK9" s="204">
        <f t="shared" ref="AK9:AK58" si="11">IF(AJ9="",0,AI9*AJ9)</f>
        <v>0</v>
      </c>
      <c r="AL9" s="207"/>
      <c r="AM9" s="231"/>
      <c r="AN9" s="207"/>
      <c r="AO9" s="231">
        <f t="shared" ref="AO9:AO58" si="12">30-AM9-J9-F9-H9</f>
        <v>30</v>
      </c>
      <c r="AP9" s="204">
        <f t="shared" ref="AP9:AP24" si="13">E9+M9+O9+Q9+S9+U9+W9+Y9+SUM(Z9:AE9)+AH9+AK9+G9</f>
        <v>2213.745216</v>
      </c>
    </row>
    <row r="10" spans="2:42">
      <c r="B10" s="230" t="str">
        <f>IF(Empleados!C10="","",Empleados!C10)</f>
        <v/>
      </c>
      <c r="C10" s="230" t="str">
        <f>IF(Empleados!E10="","",Empleados!E10)</f>
        <v/>
      </c>
      <c r="D10" s="204">
        <f>Empleados!G10+Empleados!I10+Empleados!K10</f>
        <v>0</v>
      </c>
      <c r="E10" s="204">
        <f t="shared" si="6"/>
        <v>0</v>
      </c>
      <c r="F10" s="231"/>
      <c r="G10" s="204">
        <f t="shared" si="0"/>
        <v>0</v>
      </c>
      <c r="H10" s="232"/>
      <c r="I10" s="204">
        <f t="shared" si="7"/>
        <v>0</v>
      </c>
      <c r="J10" s="232"/>
      <c r="K10" s="204">
        <f t="shared" si="8"/>
        <v>0</v>
      </c>
      <c r="L10" s="205"/>
      <c r="M10" s="204">
        <f t="shared" si="9"/>
        <v>0</v>
      </c>
      <c r="N10" s="205"/>
      <c r="O10" s="204">
        <f t="shared" si="9"/>
        <v>0</v>
      </c>
      <c r="P10" s="205"/>
      <c r="Q10" s="204">
        <f t="shared" si="1"/>
        <v>0</v>
      </c>
      <c r="R10" s="205"/>
      <c r="S10" s="233">
        <f t="shared" si="2"/>
        <v>0</v>
      </c>
      <c r="T10" s="205"/>
      <c r="U10" s="204">
        <f t="shared" si="3"/>
        <v>0</v>
      </c>
      <c r="V10" s="205"/>
      <c r="W10" s="204">
        <f t="shared" si="4"/>
        <v>0</v>
      </c>
      <c r="X10" s="205"/>
      <c r="Y10" s="204">
        <f t="shared" si="5"/>
        <v>0</v>
      </c>
      <c r="Z10" s="207"/>
      <c r="AA10" s="207"/>
      <c r="AB10" s="208"/>
      <c r="AC10" s="207"/>
      <c r="AD10" s="207"/>
      <c r="AE10" s="207"/>
      <c r="AF10" s="234"/>
      <c r="AG10" s="208"/>
      <c r="AH10" s="204">
        <f t="shared" si="10"/>
        <v>0</v>
      </c>
      <c r="AI10" s="234"/>
      <c r="AJ10" s="208"/>
      <c r="AK10" s="204">
        <f t="shared" si="11"/>
        <v>0</v>
      </c>
      <c r="AL10" s="207"/>
      <c r="AM10" s="231"/>
      <c r="AN10" s="207"/>
      <c r="AO10" s="231">
        <f t="shared" si="12"/>
        <v>30</v>
      </c>
      <c r="AP10" s="204">
        <f t="shared" si="13"/>
        <v>0</v>
      </c>
    </row>
    <row r="11" spans="2:42">
      <c r="B11" s="230" t="str">
        <f>IF(Empleados!C11="","",Empleados!C11)</f>
        <v/>
      </c>
      <c r="C11" s="230" t="str">
        <f>IF(Empleados!E11="","",Empleados!E11)</f>
        <v/>
      </c>
      <c r="D11" s="204">
        <f>Empleados!G11+Empleados!I11+Empleados!K11</f>
        <v>0</v>
      </c>
      <c r="E11" s="204">
        <f t="shared" si="6"/>
        <v>0</v>
      </c>
      <c r="F11" s="231"/>
      <c r="G11" s="204">
        <f t="shared" si="0"/>
        <v>0</v>
      </c>
      <c r="H11" s="232"/>
      <c r="I11" s="204">
        <f t="shared" si="7"/>
        <v>0</v>
      </c>
      <c r="J11" s="232"/>
      <c r="K11" s="204">
        <f t="shared" si="8"/>
        <v>0</v>
      </c>
      <c r="L11" s="205"/>
      <c r="M11" s="204">
        <f t="shared" si="9"/>
        <v>0</v>
      </c>
      <c r="N11" s="205"/>
      <c r="O11" s="204">
        <f t="shared" si="9"/>
        <v>0</v>
      </c>
      <c r="P11" s="205"/>
      <c r="Q11" s="204">
        <f t="shared" si="1"/>
        <v>0</v>
      </c>
      <c r="R11" s="205"/>
      <c r="S11" s="233">
        <f t="shared" si="2"/>
        <v>0</v>
      </c>
      <c r="T11" s="205"/>
      <c r="U11" s="204">
        <f t="shared" si="3"/>
        <v>0</v>
      </c>
      <c r="V11" s="205"/>
      <c r="W11" s="204">
        <f t="shared" si="4"/>
        <v>0</v>
      </c>
      <c r="X11" s="205"/>
      <c r="Y11" s="204">
        <f t="shared" si="5"/>
        <v>0</v>
      </c>
      <c r="Z11" s="207"/>
      <c r="AA11" s="207"/>
      <c r="AB11" s="208"/>
      <c r="AC11" s="207"/>
      <c r="AD11" s="207"/>
      <c r="AE11" s="207"/>
      <c r="AF11" s="234"/>
      <c r="AG11" s="208"/>
      <c r="AH11" s="204">
        <f t="shared" si="10"/>
        <v>0</v>
      </c>
      <c r="AI11" s="234"/>
      <c r="AJ11" s="208"/>
      <c r="AK11" s="204">
        <f t="shared" si="11"/>
        <v>0</v>
      </c>
      <c r="AL11" s="207"/>
      <c r="AM11" s="231"/>
      <c r="AN11" s="207"/>
      <c r="AO11" s="231">
        <f t="shared" si="12"/>
        <v>30</v>
      </c>
      <c r="AP11" s="204">
        <f t="shared" si="13"/>
        <v>0</v>
      </c>
    </row>
    <row r="12" spans="2:42">
      <c r="B12" s="230" t="str">
        <f>IF(Empleados!C12="","",Empleados!C12)</f>
        <v/>
      </c>
      <c r="C12" s="230" t="str">
        <f>IF(Empleados!E12="","",Empleados!E12)</f>
        <v/>
      </c>
      <c r="D12" s="204">
        <f>Empleados!G12+Empleados!I12+Empleados!K12</f>
        <v>0</v>
      </c>
      <c r="E12" s="204">
        <f t="shared" si="6"/>
        <v>0</v>
      </c>
      <c r="F12" s="231"/>
      <c r="G12" s="204">
        <f t="shared" si="0"/>
        <v>0</v>
      </c>
      <c r="H12" s="232"/>
      <c r="I12" s="204">
        <f t="shared" si="7"/>
        <v>0</v>
      </c>
      <c r="J12" s="232"/>
      <c r="K12" s="204">
        <f t="shared" si="8"/>
        <v>0</v>
      </c>
      <c r="L12" s="205"/>
      <c r="M12" s="204">
        <f t="shared" si="9"/>
        <v>0</v>
      </c>
      <c r="N12" s="205"/>
      <c r="O12" s="204">
        <f t="shared" si="9"/>
        <v>0</v>
      </c>
      <c r="P12" s="205"/>
      <c r="Q12" s="204">
        <f t="shared" si="1"/>
        <v>0</v>
      </c>
      <c r="R12" s="205"/>
      <c r="S12" s="233">
        <f t="shared" si="2"/>
        <v>0</v>
      </c>
      <c r="T12" s="205"/>
      <c r="U12" s="204">
        <f t="shared" si="3"/>
        <v>0</v>
      </c>
      <c r="V12" s="205"/>
      <c r="W12" s="204">
        <f t="shared" si="4"/>
        <v>0</v>
      </c>
      <c r="X12" s="205"/>
      <c r="Y12" s="204">
        <f t="shared" si="5"/>
        <v>0</v>
      </c>
      <c r="Z12" s="207"/>
      <c r="AA12" s="207"/>
      <c r="AB12" s="208"/>
      <c r="AC12" s="207"/>
      <c r="AD12" s="207"/>
      <c r="AE12" s="207"/>
      <c r="AF12" s="234"/>
      <c r="AG12" s="208"/>
      <c r="AH12" s="204">
        <f t="shared" si="10"/>
        <v>0</v>
      </c>
      <c r="AI12" s="234"/>
      <c r="AJ12" s="208"/>
      <c r="AK12" s="204">
        <f t="shared" si="11"/>
        <v>0</v>
      </c>
      <c r="AL12" s="207"/>
      <c r="AM12" s="231"/>
      <c r="AN12" s="207"/>
      <c r="AO12" s="231">
        <f t="shared" si="12"/>
        <v>30</v>
      </c>
      <c r="AP12" s="204">
        <f t="shared" si="13"/>
        <v>0</v>
      </c>
    </row>
    <row r="13" spans="2:42">
      <c r="B13" s="230" t="str">
        <f>IF(Empleados!C13="","",Empleados!C13)</f>
        <v/>
      </c>
      <c r="C13" s="230" t="str">
        <f>IF(Empleados!E13="","",Empleados!E13)</f>
        <v/>
      </c>
      <c r="D13" s="204">
        <f>Empleados!G13+Empleados!I13+Empleados!K13</f>
        <v>0</v>
      </c>
      <c r="E13" s="204">
        <f t="shared" si="6"/>
        <v>0</v>
      </c>
      <c r="F13" s="231"/>
      <c r="G13" s="204">
        <f t="shared" si="0"/>
        <v>0</v>
      </c>
      <c r="H13" s="232"/>
      <c r="I13" s="204">
        <f t="shared" si="7"/>
        <v>0</v>
      </c>
      <c r="J13" s="232"/>
      <c r="K13" s="204">
        <f t="shared" si="8"/>
        <v>0</v>
      </c>
      <c r="L13" s="205"/>
      <c r="M13" s="204">
        <f t="shared" si="9"/>
        <v>0</v>
      </c>
      <c r="N13" s="205"/>
      <c r="O13" s="204">
        <f t="shared" si="9"/>
        <v>0</v>
      </c>
      <c r="P13" s="205"/>
      <c r="Q13" s="204">
        <f t="shared" si="1"/>
        <v>0</v>
      </c>
      <c r="R13" s="205"/>
      <c r="S13" s="233">
        <f t="shared" si="2"/>
        <v>0</v>
      </c>
      <c r="T13" s="205"/>
      <c r="U13" s="204">
        <f t="shared" si="3"/>
        <v>0</v>
      </c>
      <c r="V13" s="205"/>
      <c r="W13" s="204">
        <f t="shared" si="4"/>
        <v>0</v>
      </c>
      <c r="X13" s="205"/>
      <c r="Y13" s="204">
        <f t="shared" si="5"/>
        <v>0</v>
      </c>
      <c r="Z13" s="207"/>
      <c r="AA13" s="207"/>
      <c r="AB13" s="208"/>
      <c r="AC13" s="207"/>
      <c r="AD13" s="207"/>
      <c r="AE13" s="207"/>
      <c r="AF13" s="234"/>
      <c r="AG13" s="208"/>
      <c r="AH13" s="204">
        <f t="shared" si="10"/>
        <v>0</v>
      </c>
      <c r="AI13" s="234"/>
      <c r="AJ13" s="208"/>
      <c r="AK13" s="204">
        <f t="shared" si="11"/>
        <v>0</v>
      </c>
      <c r="AL13" s="207"/>
      <c r="AM13" s="231"/>
      <c r="AN13" s="207"/>
      <c r="AO13" s="231">
        <f t="shared" si="12"/>
        <v>30</v>
      </c>
      <c r="AP13" s="204">
        <f t="shared" si="13"/>
        <v>0</v>
      </c>
    </row>
    <row r="14" spans="2:42">
      <c r="B14" s="230" t="str">
        <f>IF(Empleados!C14="","",Empleados!C14)</f>
        <v/>
      </c>
      <c r="C14" s="230" t="str">
        <f>IF(Empleados!E14="","",Empleados!E14)</f>
        <v/>
      </c>
      <c r="D14" s="204">
        <f>Empleados!G14+Empleados!I14+Empleados!K14</f>
        <v>0</v>
      </c>
      <c r="E14" s="204">
        <f t="shared" si="6"/>
        <v>0</v>
      </c>
      <c r="F14" s="231"/>
      <c r="G14" s="204">
        <f t="shared" ref="G14:G58" si="14">IF(F14="",0,IF(ISERROR(F14*D14/30),0,F14*D14/30))</f>
        <v>0</v>
      </c>
      <c r="H14" s="232"/>
      <c r="I14" s="204">
        <f t="shared" si="7"/>
        <v>0</v>
      </c>
      <c r="J14" s="232"/>
      <c r="K14" s="204">
        <f t="shared" si="8"/>
        <v>0</v>
      </c>
      <c r="L14" s="205"/>
      <c r="M14" s="204">
        <f t="shared" si="9"/>
        <v>0</v>
      </c>
      <c r="N14" s="205"/>
      <c r="O14" s="204">
        <f t="shared" si="9"/>
        <v>0</v>
      </c>
      <c r="P14" s="205"/>
      <c r="Q14" s="204">
        <f t="shared" si="1"/>
        <v>0</v>
      </c>
      <c r="R14" s="205"/>
      <c r="S14" s="233">
        <f t="shared" si="2"/>
        <v>0</v>
      </c>
      <c r="T14" s="205"/>
      <c r="U14" s="204">
        <f t="shared" si="3"/>
        <v>0</v>
      </c>
      <c r="V14" s="205"/>
      <c r="W14" s="204">
        <f t="shared" si="4"/>
        <v>0</v>
      </c>
      <c r="X14" s="205"/>
      <c r="Y14" s="204">
        <f t="shared" si="5"/>
        <v>0</v>
      </c>
      <c r="Z14" s="207"/>
      <c r="AA14" s="207"/>
      <c r="AB14" s="208"/>
      <c r="AC14" s="207"/>
      <c r="AD14" s="207"/>
      <c r="AE14" s="207"/>
      <c r="AF14" s="234"/>
      <c r="AG14" s="208"/>
      <c r="AH14" s="204">
        <f t="shared" si="10"/>
        <v>0</v>
      </c>
      <c r="AI14" s="234"/>
      <c r="AJ14" s="208"/>
      <c r="AK14" s="204">
        <f t="shared" si="11"/>
        <v>0</v>
      </c>
      <c r="AL14" s="207"/>
      <c r="AM14" s="231"/>
      <c r="AN14" s="207"/>
      <c r="AO14" s="231">
        <f t="shared" si="12"/>
        <v>30</v>
      </c>
      <c r="AP14" s="204">
        <f t="shared" si="13"/>
        <v>0</v>
      </c>
    </row>
    <row r="15" spans="2:42">
      <c r="B15" s="230" t="str">
        <f>IF(Empleados!C15="","",Empleados!C15)</f>
        <v/>
      </c>
      <c r="C15" s="230" t="str">
        <f>IF(Empleados!E15="","",Empleados!E15)</f>
        <v/>
      </c>
      <c r="D15" s="204">
        <f>Empleados!G15+Empleados!I15+Empleados!K15</f>
        <v>0</v>
      </c>
      <c r="E15" s="204">
        <f t="shared" si="6"/>
        <v>0</v>
      </c>
      <c r="F15" s="231"/>
      <c r="G15" s="204">
        <f t="shared" si="14"/>
        <v>0</v>
      </c>
      <c r="H15" s="232"/>
      <c r="I15" s="204">
        <f t="shared" si="7"/>
        <v>0</v>
      </c>
      <c r="J15" s="232"/>
      <c r="K15" s="204">
        <f t="shared" si="8"/>
        <v>0</v>
      </c>
      <c r="L15" s="205"/>
      <c r="M15" s="204">
        <f t="shared" si="9"/>
        <v>0</v>
      </c>
      <c r="N15" s="205"/>
      <c r="O15" s="204">
        <f t="shared" si="9"/>
        <v>0</v>
      </c>
      <c r="P15" s="205"/>
      <c r="Q15" s="204">
        <f t="shared" si="1"/>
        <v>0</v>
      </c>
      <c r="R15" s="205"/>
      <c r="S15" s="233">
        <f t="shared" si="2"/>
        <v>0</v>
      </c>
      <c r="T15" s="205"/>
      <c r="U15" s="204">
        <f t="shared" si="3"/>
        <v>0</v>
      </c>
      <c r="V15" s="205"/>
      <c r="W15" s="204">
        <f t="shared" si="4"/>
        <v>0</v>
      </c>
      <c r="X15" s="205"/>
      <c r="Y15" s="204">
        <f t="shared" si="5"/>
        <v>0</v>
      </c>
      <c r="Z15" s="207"/>
      <c r="AA15" s="207"/>
      <c r="AB15" s="208"/>
      <c r="AC15" s="207"/>
      <c r="AD15" s="207"/>
      <c r="AE15" s="207"/>
      <c r="AF15" s="234"/>
      <c r="AG15" s="208"/>
      <c r="AH15" s="204">
        <f t="shared" si="10"/>
        <v>0</v>
      </c>
      <c r="AI15" s="234"/>
      <c r="AJ15" s="208"/>
      <c r="AK15" s="204">
        <f t="shared" si="11"/>
        <v>0</v>
      </c>
      <c r="AL15" s="207"/>
      <c r="AM15" s="231"/>
      <c r="AN15" s="207"/>
      <c r="AO15" s="231">
        <f t="shared" si="12"/>
        <v>30</v>
      </c>
      <c r="AP15" s="204">
        <f t="shared" si="13"/>
        <v>0</v>
      </c>
    </row>
    <row r="16" spans="2:42">
      <c r="B16" s="230" t="str">
        <f>IF(Empleados!C16="","",Empleados!C16)</f>
        <v/>
      </c>
      <c r="C16" s="230" t="str">
        <f>IF(Empleados!E16="","",Empleados!E16)</f>
        <v/>
      </c>
      <c r="D16" s="204">
        <f>((Empleados!G16+Empleados!I16+Empleados!K16)/30)*30</f>
        <v>0</v>
      </c>
      <c r="E16" s="204">
        <f t="shared" si="6"/>
        <v>0</v>
      </c>
      <c r="F16" s="231"/>
      <c r="G16" s="204">
        <f t="shared" si="14"/>
        <v>0</v>
      </c>
      <c r="H16" s="232"/>
      <c r="I16" s="204">
        <f t="shared" si="7"/>
        <v>0</v>
      </c>
      <c r="J16" s="232"/>
      <c r="K16" s="204">
        <f t="shared" si="8"/>
        <v>0</v>
      </c>
      <c r="L16" s="205"/>
      <c r="M16" s="204">
        <f t="shared" si="9"/>
        <v>0</v>
      </c>
      <c r="N16" s="205"/>
      <c r="O16" s="204">
        <f t="shared" si="9"/>
        <v>0</v>
      </c>
      <c r="P16" s="205"/>
      <c r="Q16" s="204">
        <f t="shared" si="1"/>
        <v>0</v>
      </c>
      <c r="R16" s="205"/>
      <c r="S16" s="233">
        <f t="shared" si="2"/>
        <v>0</v>
      </c>
      <c r="T16" s="205"/>
      <c r="U16" s="204">
        <f t="shared" si="3"/>
        <v>0</v>
      </c>
      <c r="V16" s="205"/>
      <c r="W16" s="204">
        <f t="shared" si="4"/>
        <v>0</v>
      </c>
      <c r="X16" s="205"/>
      <c r="Y16" s="204">
        <f t="shared" si="5"/>
        <v>0</v>
      </c>
      <c r="Z16" s="207"/>
      <c r="AA16" s="207"/>
      <c r="AB16" s="208"/>
      <c r="AC16" s="207"/>
      <c r="AD16" s="207"/>
      <c r="AE16" s="207"/>
      <c r="AF16" s="234"/>
      <c r="AG16" s="208"/>
      <c r="AH16" s="204">
        <f t="shared" si="10"/>
        <v>0</v>
      </c>
      <c r="AI16" s="234"/>
      <c r="AJ16" s="208"/>
      <c r="AK16" s="204">
        <f t="shared" si="11"/>
        <v>0</v>
      </c>
      <c r="AL16" s="207"/>
      <c r="AM16" s="231"/>
      <c r="AN16" s="207"/>
      <c r="AO16" s="231">
        <f t="shared" si="12"/>
        <v>30</v>
      </c>
      <c r="AP16" s="204">
        <f t="shared" si="13"/>
        <v>0</v>
      </c>
    </row>
    <row r="17" spans="2:42">
      <c r="B17" s="230" t="str">
        <f>IF(Empleados!C17="","",Empleados!C17)</f>
        <v/>
      </c>
      <c r="C17" s="230" t="str">
        <f>IF(Empleados!E17="","",Empleados!E17)</f>
        <v/>
      </c>
      <c r="D17" s="204">
        <f>Empleados!G17+Empleados!I17+Empleados!K17</f>
        <v>0</v>
      </c>
      <c r="E17" s="204">
        <f t="shared" si="6"/>
        <v>0</v>
      </c>
      <c r="F17" s="231"/>
      <c r="G17" s="204">
        <f t="shared" si="14"/>
        <v>0</v>
      </c>
      <c r="H17" s="232"/>
      <c r="I17" s="204">
        <f t="shared" si="7"/>
        <v>0</v>
      </c>
      <c r="J17" s="232"/>
      <c r="K17" s="204">
        <f t="shared" si="8"/>
        <v>0</v>
      </c>
      <c r="L17" s="205"/>
      <c r="M17" s="204">
        <f t="shared" si="9"/>
        <v>0</v>
      </c>
      <c r="N17" s="205"/>
      <c r="O17" s="204">
        <f t="shared" si="9"/>
        <v>0</v>
      </c>
      <c r="P17" s="205"/>
      <c r="Q17" s="204">
        <f t="shared" si="1"/>
        <v>0</v>
      </c>
      <c r="R17" s="205"/>
      <c r="S17" s="233">
        <f t="shared" si="2"/>
        <v>0</v>
      </c>
      <c r="T17" s="205"/>
      <c r="U17" s="204">
        <f t="shared" si="3"/>
        <v>0</v>
      </c>
      <c r="V17" s="205"/>
      <c r="W17" s="204">
        <f t="shared" si="4"/>
        <v>0</v>
      </c>
      <c r="X17" s="205"/>
      <c r="Y17" s="204">
        <f t="shared" si="5"/>
        <v>0</v>
      </c>
      <c r="Z17" s="207"/>
      <c r="AA17" s="207"/>
      <c r="AB17" s="208"/>
      <c r="AC17" s="207"/>
      <c r="AD17" s="207"/>
      <c r="AE17" s="207"/>
      <c r="AF17" s="234"/>
      <c r="AG17" s="208"/>
      <c r="AH17" s="204">
        <f t="shared" si="10"/>
        <v>0</v>
      </c>
      <c r="AI17" s="234"/>
      <c r="AJ17" s="208"/>
      <c r="AK17" s="204">
        <f t="shared" si="11"/>
        <v>0</v>
      </c>
      <c r="AL17" s="207"/>
      <c r="AM17" s="231"/>
      <c r="AN17" s="207"/>
      <c r="AO17" s="231">
        <f t="shared" si="12"/>
        <v>30</v>
      </c>
      <c r="AP17" s="204">
        <f t="shared" si="13"/>
        <v>0</v>
      </c>
    </row>
    <row r="18" spans="2:42">
      <c r="B18" s="230" t="str">
        <f>IF(Empleados!C18="","",Empleados!C18)</f>
        <v/>
      </c>
      <c r="C18" s="230" t="str">
        <f>IF(Empleados!E18="","",Empleados!E18)</f>
        <v/>
      </c>
      <c r="D18" s="204">
        <f>Empleados!G18+Empleados!I18+Empleados!K18</f>
        <v>0</v>
      </c>
      <c r="E18" s="204">
        <f t="shared" si="6"/>
        <v>0</v>
      </c>
      <c r="F18" s="231"/>
      <c r="G18" s="204">
        <f t="shared" si="14"/>
        <v>0</v>
      </c>
      <c r="H18" s="232"/>
      <c r="I18" s="204">
        <f t="shared" si="7"/>
        <v>0</v>
      </c>
      <c r="J18" s="232"/>
      <c r="K18" s="204">
        <f t="shared" si="8"/>
        <v>0</v>
      </c>
      <c r="L18" s="205"/>
      <c r="M18" s="204">
        <f t="shared" si="9"/>
        <v>0</v>
      </c>
      <c r="N18" s="205"/>
      <c r="O18" s="204">
        <f t="shared" si="9"/>
        <v>0</v>
      </c>
      <c r="P18" s="205"/>
      <c r="Q18" s="204">
        <f t="shared" si="1"/>
        <v>0</v>
      </c>
      <c r="R18" s="205"/>
      <c r="S18" s="233">
        <f t="shared" si="2"/>
        <v>0</v>
      </c>
      <c r="T18" s="205"/>
      <c r="U18" s="204">
        <f t="shared" si="3"/>
        <v>0</v>
      </c>
      <c r="V18" s="205"/>
      <c r="W18" s="204">
        <f t="shared" si="4"/>
        <v>0</v>
      </c>
      <c r="X18" s="205"/>
      <c r="Y18" s="204">
        <f t="shared" si="5"/>
        <v>0</v>
      </c>
      <c r="Z18" s="207"/>
      <c r="AA18" s="207"/>
      <c r="AB18" s="208"/>
      <c r="AC18" s="207"/>
      <c r="AD18" s="207"/>
      <c r="AE18" s="207"/>
      <c r="AF18" s="234"/>
      <c r="AG18" s="208"/>
      <c r="AH18" s="204">
        <f t="shared" si="10"/>
        <v>0</v>
      </c>
      <c r="AI18" s="234"/>
      <c r="AJ18" s="208"/>
      <c r="AK18" s="204">
        <f t="shared" si="11"/>
        <v>0</v>
      </c>
      <c r="AL18" s="207"/>
      <c r="AM18" s="231"/>
      <c r="AN18" s="207"/>
      <c r="AO18" s="231">
        <f t="shared" si="12"/>
        <v>30</v>
      </c>
      <c r="AP18" s="204">
        <f t="shared" si="13"/>
        <v>0</v>
      </c>
    </row>
    <row r="19" spans="2:42">
      <c r="B19" s="230" t="str">
        <f>IF(Empleados!C19="","",Empleados!C19)</f>
        <v/>
      </c>
      <c r="C19" s="230" t="str">
        <f>IF(Empleados!E19="","",Empleados!E19)</f>
        <v/>
      </c>
      <c r="D19" s="204">
        <f>Empleados!G19+Empleados!I19+Empleados!K19</f>
        <v>0</v>
      </c>
      <c r="E19" s="204">
        <f t="shared" si="6"/>
        <v>0</v>
      </c>
      <c r="F19" s="231"/>
      <c r="G19" s="204">
        <f t="shared" si="14"/>
        <v>0</v>
      </c>
      <c r="H19" s="232"/>
      <c r="I19" s="204">
        <f t="shared" si="7"/>
        <v>0</v>
      </c>
      <c r="J19" s="232"/>
      <c r="K19" s="204">
        <f t="shared" si="8"/>
        <v>0</v>
      </c>
      <c r="L19" s="205"/>
      <c r="M19" s="204">
        <f t="shared" si="9"/>
        <v>0</v>
      </c>
      <c r="N19" s="205"/>
      <c r="O19" s="204">
        <f t="shared" si="9"/>
        <v>0</v>
      </c>
      <c r="P19" s="205"/>
      <c r="Q19" s="204">
        <f t="shared" si="1"/>
        <v>0</v>
      </c>
      <c r="R19" s="205"/>
      <c r="S19" s="233">
        <f t="shared" si="2"/>
        <v>0</v>
      </c>
      <c r="T19" s="205"/>
      <c r="U19" s="204">
        <f t="shared" si="3"/>
        <v>0</v>
      </c>
      <c r="V19" s="205"/>
      <c r="W19" s="204">
        <f t="shared" si="4"/>
        <v>0</v>
      </c>
      <c r="X19" s="205"/>
      <c r="Y19" s="204">
        <f t="shared" si="5"/>
        <v>0</v>
      </c>
      <c r="Z19" s="207"/>
      <c r="AA19" s="207"/>
      <c r="AB19" s="208"/>
      <c r="AC19" s="207"/>
      <c r="AD19" s="207"/>
      <c r="AE19" s="207"/>
      <c r="AF19" s="234"/>
      <c r="AG19" s="208"/>
      <c r="AH19" s="204">
        <f t="shared" si="10"/>
        <v>0</v>
      </c>
      <c r="AI19" s="234"/>
      <c r="AJ19" s="208"/>
      <c r="AK19" s="204">
        <f t="shared" si="11"/>
        <v>0</v>
      </c>
      <c r="AL19" s="236"/>
      <c r="AM19" s="231"/>
      <c r="AN19" s="207"/>
      <c r="AO19" s="231">
        <f t="shared" si="12"/>
        <v>30</v>
      </c>
      <c r="AP19" s="204">
        <f t="shared" si="13"/>
        <v>0</v>
      </c>
    </row>
    <row r="20" spans="2:42">
      <c r="B20" s="230" t="str">
        <f>IF(Empleados!C20="","",Empleados!C20)</f>
        <v/>
      </c>
      <c r="C20" s="230" t="str">
        <f>IF(Empleados!E20="","",Empleados!E20)</f>
        <v/>
      </c>
      <c r="D20" s="204">
        <f>Empleados!G20+Empleados!I20+Empleados!K20</f>
        <v>0</v>
      </c>
      <c r="E20" s="204">
        <f t="shared" si="6"/>
        <v>0</v>
      </c>
      <c r="F20" s="231"/>
      <c r="G20" s="204">
        <f t="shared" si="14"/>
        <v>0</v>
      </c>
      <c r="H20" s="232"/>
      <c r="I20" s="204">
        <f t="shared" si="7"/>
        <v>0</v>
      </c>
      <c r="J20" s="232"/>
      <c r="K20" s="204">
        <f t="shared" si="8"/>
        <v>0</v>
      </c>
      <c r="L20" s="205"/>
      <c r="M20" s="204">
        <f t="shared" si="9"/>
        <v>0</v>
      </c>
      <c r="N20" s="205"/>
      <c r="O20" s="204">
        <f t="shared" si="9"/>
        <v>0</v>
      </c>
      <c r="P20" s="205"/>
      <c r="Q20" s="204">
        <f t="shared" si="1"/>
        <v>0</v>
      </c>
      <c r="R20" s="205"/>
      <c r="S20" s="233">
        <f t="shared" si="2"/>
        <v>0</v>
      </c>
      <c r="T20" s="205"/>
      <c r="U20" s="204">
        <f t="shared" si="3"/>
        <v>0</v>
      </c>
      <c r="V20" s="205"/>
      <c r="W20" s="204">
        <f t="shared" si="4"/>
        <v>0</v>
      </c>
      <c r="X20" s="205"/>
      <c r="Y20" s="204">
        <f t="shared" si="5"/>
        <v>0</v>
      </c>
      <c r="Z20" s="207"/>
      <c r="AA20" s="207"/>
      <c r="AB20" s="208"/>
      <c r="AC20" s="207"/>
      <c r="AD20" s="207"/>
      <c r="AE20" s="207"/>
      <c r="AF20" s="234"/>
      <c r="AG20" s="208"/>
      <c r="AH20" s="204">
        <f t="shared" si="10"/>
        <v>0</v>
      </c>
      <c r="AI20" s="234"/>
      <c r="AJ20" s="208"/>
      <c r="AK20" s="204">
        <f t="shared" si="11"/>
        <v>0</v>
      </c>
      <c r="AL20" s="236"/>
      <c r="AM20" s="231"/>
      <c r="AN20" s="207"/>
      <c r="AO20" s="231">
        <f t="shared" si="12"/>
        <v>30</v>
      </c>
      <c r="AP20" s="204">
        <f t="shared" si="13"/>
        <v>0</v>
      </c>
    </row>
    <row r="21" spans="2:42">
      <c r="B21" s="230" t="str">
        <f>IF(Empleados!C21="","",Empleados!C21)</f>
        <v/>
      </c>
      <c r="C21" s="230" t="str">
        <f>IF(Empleados!E21="","",Empleados!E21)</f>
        <v/>
      </c>
      <c r="D21" s="204">
        <f>Empleados!G21+Empleados!I21+Empleados!K21</f>
        <v>0</v>
      </c>
      <c r="E21" s="204">
        <f t="shared" si="6"/>
        <v>0</v>
      </c>
      <c r="F21" s="231"/>
      <c r="G21" s="204">
        <f t="shared" si="14"/>
        <v>0</v>
      </c>
      <c r="H21" s="232"/>
      <c r="I21" s="204">
        <f t="shared" si="7"/>
        <v>0</v>
      </c>
      <c r="J21" s="232"/>
      <c r="K21" s="204">
        <f t="shared" si="8"/>
        <v>0</v>
      </c>
      <c r="L21" s="205"/>
      <c r="M21" s="204">
        <f t="shared" si="9"/>
        <v>0</v>
      </c>
      <c r="N21" s="205"/>
      <c r="O21" s="204">
        <f t="shared" si="9"/>
        <v>0</v>
      </c>
      <c r="P21" s="205"/>
      <c r="Q21" s="204">
        <f t="shared" si="1"/>
        <v>0</v>
      </c>
      <c r="R21" s="205"/>
      <c r="S21" s="233">
        <f t="shared" si="2"/>
        <v>0</v>
      </c>
      <c r="T21" s="205"/>
      <c r="U21" s="204">
        <f t="shared" si="3"/>
        <v>0</v>
      </c>
      <c r="V21" s="205"/>
      <c r="W21" s="204">
        <f t="shared" si="4"/>
        <v>0</v>
      </c>
      <c r="X21" s="205"/>
      <c r="Y21" s="204">
        <f t="shared" si="5"/>
        <v>0</v>
      </c>
      <c r="Z21" s="207"/>
      <c r="AA21" s="207"/>
      <c r="AB21" s="208"/>
      <c r="AC21" s="207"/>
      <c r="AD21" s="207"/>
      <c r="AE21" s="207"/>
      <c r="AF21" s="234"/>
      <c r="AG21" s="208"/>
      <c r="AH21" s="204">
        <f t="shared" si="10"/>
        <v>0</v>
      </c>
      <c r="AI21" s="234"/>
      <c r="AJ21" s="208"/>
      <c r="AK21" s="204">
        <f t="shared" si="11"/>
        <v>0</v>
      </c>
      <c r="AL21" s="236"/>
      <c r="AM21" s="231"/>
      <c r="AN21" s="207"/>
      <c r="AO21" s="231">
        <f t="shared" si="12"/>
        <v>30</v>
      </c>
      <c r="AP21" s="204">
        <f t="shared" si="13"/>
        <v>0</v>
      </c>
    </row>
    <row r="22" ht="14.25" customHeight="1" spans="2:42">
      <c r="B22" s="230" t="str">
        <f>IF(Empleados!C22="","",Empleados!C22)</f>
        <v/>
      </c>
      <c r="C22" s="230" t="str">
        <f>IF(Empleados!E22="","",Empleados!E22)</f>
        <v/>
      </c>
      <c r="D22" s="204">
        <f>((Empleados!G22+Empleados!I22+Empleados!K22))</f>
        <v>0</v>
      </c>
      <c r="E22" s="204">
        <f t="shared" si="6"/>
        <v>0</v>
      </c>
      <c r="F22" s="231"/>
      <c r="G22" s="204">
        <f t="shared" si="14"/>
        <v>0</v>
      </c>
      <c r="H22" s="232"/>
      <c r="I22" s="204">
        <f t="shared" si="7"/>
        <v>0</v>
      </c>
      <c r="J22" s="232"/>
      <c r="K22" s="204">
        <f t="shared" si="8"/>
        <v>0</v>
      </c>
      <c r="L22" s="205"/>
      <c r="M22" s="204">
        <f t="shared" si="9"/>
        <v>0</v>
      </c>
      <c r="N22" s="205"/>
      <c r="O22" s="204">
        <f t="shared" si="9"/>
        <v>0</v>
      </c>
      <c r="P22" s="205"/>
      <c r="Q22" s="204">
        <f t="shared" si="1"/>
        <v>0</v>
      </c>
      <c r="R22" s="205"/>
      <c r="S22" s="233">
        <f t="shared" si="2"/>
        <v>0</v>
      </c>
      <c r="T22" s="205"/>
      <c r="U22" s="204">
        <f t="shared" si="3"/>
        <v>0</v>
      </c>
      <c r="V22" s="205"/>
      <c r="W22" s="204">
        <f t="shared" si="4"/>
        <v>0</v>
      </c>
      <c r="X22" s="205"/>
      <c r="Y22" s="204">
        <f t="shared" si="5"/>
        <v>0</v>
      </c>
      <c r="Z22" s="207"/>
      <c r="AA22" s="207"/>
      <c r="AB22" s="208"/>
      <c r="AC22" s="207"/>
      <c r="AD22" s="207"/>
      <c r="AE22" s="207"/>
      <c r="AF22" s="234"/>
      <c r="AG22" s="208"/>
      <c r="AH22" s="204">
        <f t="shared" si="10"/>
        <v>0</v>
      </c>
      <c r="AI22" s="234"/>
      <c r="AJ22" s="208"/>
      <c r="AK22" s="204">
        <f t="shared" si="11"/>
        <v>0</v>
      </c>
      <c r="AL22" s="236"/>
      <c r="AM22" s="231"/>
      <c r="AN22" s="207"/>
      <c r="AO22" s="231">
        <f t="shared" si="12"/>
        <v>30</v>
      </c>
      <c r="AP22" s="204">
        <f t="shared" si="13"/>
        <v>0</v>
      </c>
    </row>
    <row r="23" spans="2:42">
      <c r="B23" s="230" t="str">
        <f>IF(Empleados!C23="","",Empleados!C23)</f>
        <v/>
      </c>
      <c r="C23" s="230" t="str">
        <f>IF(Empleados!E23="","",Empleados!E23)</f>
        <v/>
      </c>
      <c r="D23" s="204">
        <f>Empleados!G23+Empleados!I23+Empleados!K23</f>
        <v>0</v>
      </c>
      <c r="E23" s="204">
        <f t="shared" si="6"/>
        <v>0</v>
      </c>
      <c r="F23" s="231"/>
      <c r="G23" s="204">
        <f t="shared" si="14"/>
        <v>0</v>
      </c>
      <c r="H23" s="232"/>
      <c r="I23" s="204">
        <f t="shared" si="7"/>
        <v>0</v>
      </c>
      <c r="J23" s="232"/>
      <c r="K23" s="204">
        <f t="shared" si="8"/>
        <v>0</v>
      </c>
      <c r="L23" s="205"/>
      <c r="M23" s="204">
        <f t="shared" si="9"/>
        <v>0</v>
      </c>
      <c r="N23" s="205"/>
      <c r="O23" s="204">
        <f t="shared" si="9"/>
        <v>0</v>
      </c>
      <c r="P23" s="205"/>
      <c r="Q23" s="204">
        <f t="shared" si="1"/>
        <v>0</v>
      </c>
      <c r="R23" s="205"/>
      <c r="S23" s="233">
        <f t="shared" si="2"/>
        <v>0</v>
      </c>
      <c r="T23" s="205"/>
      <c r="U23" s="204">
        <f t="shared" si="3"/>
        <v>0</v>
      </c>
      <c r="V23" s="205"/>
      <c r="W23" s="204">
        <f t="shared" si="4"/>
        <v>0</v>
      </c>
      <c r="X23" s="205"/>
      <c r="Y23" s="204">
        <f t="shared" si="5"/>
        <v>0</v>
      </c>
      <c r="Z23" s="207"/>
      <c r="AA23" s="207"/>
      <c r="AB23" s="208"/>
      <c r="AC23" s="207"/>
      <c r="AD23" s="207"/>
      <c r="AE23" s="207"/>
      <c r="AF23" s="234"/>
      <c r="AG23" s="208"/>
      <c r="AH23" s="204">
        <f t="shared" si="10"/>
        <v>0</v>
      </c>
      <c r="AI23" s="234"/>
      <c r="AJ23" s="208"/>
      <c r="AK23" s="204">
        <f t="shared" si="11"/>
        <v>0</v>
      </c>
      <c r="AL23" s="236"/>
      <c r="AM23" s="231"/>
      <c r="AN23" s="207"/>
      <c r="AO23" s="231">
        <f t="shared" si="12"/>
        <v>30</v>
      </c>
      <c r="AP23" s="204">
        <f t="shared" si="13"/>
        <v>0</v>
      </c>
    </row>
    <row r="24" spans="2:42">
      <c r="B24" s="230" t="str">
        <f>IF(Empleados!C24="","",Empleados!C24)</f>
        <v/>
      </c>
      <c r="C24" s="230" t="str">
        <f>IF(Empleados!E24="","",Empleados!E24)</f>
        <v/>
      </c>
      <c r="D24" s="204">
        <f>Empleados!G24+Empleados!I24+Empleados!K24</f>
        <v>0</v>
      </c>
      <c r="E24" s="204">
        <f t="shared" si="6"/>
        <v>0</v>
      </c>
      <c r="F24" s="231"/>
      <c r="G24" s="204">
        <f t="shared" si="14"/>
        <v>0</v>
      </c>
      <c r="H24" s="232"/>
      <c r="I24" s="204">
        <f t="shared" si="7"/>
        <v>0</v>
      </c>
      <c r="J24" s="232"/>
      <c r="K24" s="204">
        <f t="shared" si="8"/>
        <v>0</v>
      </c>
      <c r="L24" s="205"/>
      <c r="M24" s="204">
        <f t="shared" si="9"/>
        <v>0</v>
      </c>
      <c r="N24" s="205"/>
      <c r="O24" s="204">
        <f t="shared" si="9"/>
        <v>0</v>
      </c>
      <c r="P24" s="205"/>
      <c r="Q24" s="204">
        <f t="shared" si="1"/>
        <v>0</v>
      </c>
      <c r="R24" s="205"/>
      <c r="S24" s="204">
        <f t="shared" si="2"/>
        <v>0</v>
      </c>
      <c r="T24" s="205"/>
      <c r="U24" s="204">
        <f t="shared" si="3"/>
        <v>0</v>
      </c>
      <c r="V24" s="205"/>
      <c r="W24" s="204">
        <f t="shared" si="4"/>
        <v>0</v>
      </c>
      <c r="X24" s="205"/>
      <c r="Y24" s="204">
        <f t="shared" si="5"/>
        <v>0</v>
      </c>
      <c r="Z24" s="207"/>
      <c r="AA24" s="207"/>
      <c r="AB24" s="208"/>
      <c r="AC24" s="207"/>
      <c r="AD24" s="207"/>
      <c r="AE24" s="207"/>
      <c r="AF24" s="234"/>
      <c r="AG24" s="208"/>
      <c r="AH24" s="204">
        <f t="shared" si="10"/>
        <v>0</v>
      </c>
      <c r="AI24" s="234"/>
      <c r="AJ24" s="208"/>
      <c r="AK24" s="204">
        <f t="shared" si="11"/>
        <v>0</v>
      </c>
      <c r="AL24" s="236"/>
      <c r="AM24" s="231"/>
      <c r="AN24" s="207"/>
      <c r="AO24" s="231">
        <f t="shared" si="12"/>
        <v>30</v>
      </c>
      <c r="AP24" s="204">
        <f t="shared" si="13"/>
        <v>0</v>
      </c>
    </row>
    <row r="25" spans="2:42">
      <c r="B25" s="230" t="str">
        <f>IF(Empleados!C25="","",Empleados!C25)</f>
        <v/>
      </c>
      <c r="C25" s="230" t="str">
        <f>IF(Empleados!E25="","",Empleados!E25)</f>
        <v/>
      </c>
      <c r="D25" s="204">
        <f>Empleados!G25+Empleados!I25+Empleados!K25</f>
        <v>0</v>
      </c>
      <c r="E25" s="204">
        <f t="shared" si="6"/>
        <v>0</v>
      </c>
      <c r="F25" s="231"/>
      <c r="G25" s="204">
        <f t="shared" si="14"/>
        <v>0</v>
      </c>
      <c r="H25" s="232"/>
      <c r="I25" s="204">
        <f t="shared" si="7"/>
        <v>0</v>
      </c>
      <c r="J25" s="232"/>
      <c r="K25" s="204">
        <f t="shared" si="8"/>
        <v>0</v>
      </c>
      <c r="L25" s="205"/>
      <c r="M25" s="204">
        <f t="shared" si="9"/>
        <v>0</v>
      </c>
      <c r="N25" s="205"/>
      <c r="O25" s="204">
        <f t="shared" si="9"/>
        <v>0</v>
      </c>
      <c r="P25" s="205"/>
      <c r="Q25" s="204">
        <f t="shared" si="1"/>
        <v>0</v>
      </c>
      <c r="R25" s="205"/>
      <c r="S25" s="204">
        <f t="shared" si="2"/>
        <v>0</v>
      </c>
      <c r="T25" s="205"/>
      <c r="U25" s="204">
        <f t="shared" si="3"/>
        <v>0</v>
      </c>
      <c r="V25" s="205"/>
      <c r="W25" s="204">
        <f t="shared" si="4"/>
        <v>0</v>
      </c>
      <c r="X25" s="205"/>
      <c r="Y25" s="204">
        <f t="shared" si="5"/>
        <v>0</v>
      </c>
      <c r="Z25" s="207"/>
      <c r="AA25" s="207"/>
      <c r="AB25" s="207"/>
      <c r="AC25" s="207"/>
      <c r="AD25" s="207"/>
      <c r="AE25" s="207"/>
      <c r="AF25" s="234"/>
      <c r="AG25" s="208"/>
      <c r="AH25" s="204">
        <f t="shared" si="10"/>
        <v>0</v>
      </c>
      <c r="AI25" s="234"/>
      <c r="AJ25" s="208"/>
      <c r="AK25" s="204">
        <f t="shared" si="11"/>
        <v>0</v>
      </c>
      <c r="AL25" s="236"/>
      <c r="AM25" s="231"/>
      <c r="AN25" s="207"/>
      <c r="AO25" s="231">
        <f t="shared" si="12"/>
        <v>30</v>
      </c>
      <c r="AP25" s="204">
        <f t="shared" ref="AP25:AP58" si="15">E25+M25+O25+Q25+S25+U25+W25+Y25+SUM(Z25:AE25)+AH25+AK25</f>
        <v>0</v>
      </c>
    </row>
    <row r="26" spans="2:42">
      <c r="B26" s="230" t="str">
        <f>IF(Empleados!C26="","",Empleados!C26)</f>
        <v/>
      </c>
      <c r="C26" s="230" t="str">
        <f>IF(Empleados!E26="","",Empleados!E26)</f>
        <v/>
      </c>
      <c r="D26" s="204">
        <f>Empleados!G26+Empleados!I26+Empleados!K26</f>
        <v>0</v>
      </c>
      <c r="E26" s="204">
        <f t="shared" si="6"/>
        <v>0</v>
      </c>
      <c r="F26" s="231"/>
      <c r="G26" s="204">
        <f t="shared" si="14"/>
        <v>0</v>
      </c>
      <c r="H26" s="232"/>
      <c r="I26" s="204">
        <f t="shared" si="7"/>
        <v>0</v>
      </c>
      <c r="J26" s="232"/>
      <c r="K26" s="204">
        <f t="shared" si="8"/>
        <v>0</v>
      </c>
      <c r="L26" s="205"/>
      <c r="M26" s="204">
        <f t="shared" si="9"/>
        <v>0</v>
      </c>
      <c r="N26" s="205"/>
      <c r="O26" s="204">
        <f t="shared" si="9"/>
        <v>0</v>
      </c>
      <c r="P26" s="205"/>
      <c r="Q26" s="204">
        <f t="shared" si="1"/>
        <v>0</v>
      </c>
      <c r="R26" s="205"/>
      <c r="S26" s="204">
        <f t="shared" si="2"/>
        <v>0</v>
      </c>
      <c r="T26" s="205"/>
      <c r="U26" s="204">
        <f t="shared" si="3"/>
        <v>0</v>
      </c>
      <c r="V26" s="205"/>
      <c r="W26" s="204">
        <f t="shared" si="4"/>
        <v>0</v>
      </c>
      <c r="X26" s="205"/>
      <c r="Y26" s="204">
        <f t="shared" si="5"/>
        <v>0</v>
      </c>
      <c r="Z26" s="207"/>
      <c r="AA26" s="207"/>
      <c r="AB26" s="207"/>
      <c r="AC26" s="207"/>
      <c r="AD26" s="207"/>
      <c r="AE26" s="207"/>
      <c r="AF26" s="234"/>
      <c r="AG26" s="208"/>
      <c r="AH26" s="204">
        <f t="shared" si="10"/>
        <v>0</v>
      </c>
      <c r="AI26" s="234"/>
      <c r="AJ26" s="208"/>
      <c r="AK26" s="204">
        <f t="shared" si="11"/>
        <v>0</v>
      </c>
      <c r="AL26" s="236"/>
      <c r="AM26" s="231"/>
      <c r="AN26" s="207"/>
      <c r="AO26" s="231">
        <f t="shared" si="12"/>
        <v>30</v>
      </c>
      <c r="AP26" s="204">
        <f t="shared" si="15"/>
        <v>0</v>
      </c>
    </row>
    <row r="27" spans="2:42">
      <c r="B27" s="230" t="str">
        <f>IF(Empleados!C27="","",Empleados!C27)</f>
        <v/>
      </c>
      <c r="C27" s="230" t="str">
        <f>IF(Empleados!E27="","",Empleados!E27)</f>
        <v/>
      </c>
      <c r="D27" s="204">
        <f>Empleados!G27+Empleados!I27+Empleados!K27</f>
        <v>0</v>
      </c>
      <c r="E27" s="204">
        <f t="shared" si="6"/>
        <v>0</v>
      </c>
      <c r="F27" s="231"/>
      <c r="G27" s="204">
        <f t="shared" si="14"/>
        <v>0</v>
      </c>
      <c r="H27" s="232"/>
      <c r="I27" s="204">
        <f t="shared" si="7"/>
        <v>0</v>
      </c>
      <c r="J27" s="232"/>
      <c r="K27" s="204">
        <f t="shared" si="8"/>
        <v>0</v>
      </c>
      <c r="L27" s="205"/>
      <c r="M27" s="204">
        <f t="shared" si="9"/>
        <v>0</v>
      </c>
      <c r="N27" s="205"/>
      <c r="O27" s="204">
        <f t="shared" si="9"/>
        <v>0</v>
      </c>
      <c r="P27" s="205"/>
      <c r="Q27" s="204">
        <f t="shared" si="1"/>
        <v>0</v>
      </c>
      <c r="R27" s="205"/>
      <c r="S27" s="204">
        <f t="shared" si="2"/>
        <v>0</v>
      </c>
      <c r="T27" s="205"/>
      <c r="U27" s="204">
        <f t="shared" si="3"/>
        <v>0</v>
      </c>
      <c r="V27" s="205"/>
      <c r="W27" s="204">
        <f t="shared" si="4"/>
        <v>0</v>
      </c>
      <c r="X27" s="205"/>
      <c r="Y27" s="204">
        <f t="shared" si="5"/>
        <v>0</v>
      </c>
      <c r="Z27" s="207"/>
      <c r="AA27" s="207"/>
      <c r="AB27" s="207"/>
      <c r="AC27" s="207"/>
      <c r="AD27" s="207"/>
      <c r="AE27" s="207"/>
      <c r="AF27" s="234"/>
      <c r="AG27" s="208"/>
      <c r="AH27" s="204">
        <f t="shared" si="10"/>
        <v>0</v>
      </c>
      <c r="AI27" s="234"/>
      <c r="AJ27" s="208"/>
      <c r="AK27" s="204">
        <f t="shared" si="11"/>
        <v>0</v>
      </c>
      <c r="AL27" s="236"/>
      <c r="AM27" s="231"/>
      <c r="AN27" s="207"/>
      <c r="AO27" s="231">
        <f t="shared" si="12"/>
        <v>30</v>
      </c>
      <c r="AP27" s="204">
        <f t="shared" si="15"/>
        <v>0</v>
      </c>
    </row>
    <row r="28" spans="2:42">
      <c r="B28" s="230" t="str">
        <f>IF(Empleados!C28="","",Empleados!C28)</f>
        <v/>
      </c>
      <c r="C28" s="230" t="str">
        <f>IF(Empleados!E28="","",Empleados!E28)</f>
        <v/>
      </c>
      <c r="D28" s="204">
        <f>Empleados!G28+Empleados!I28+Empleados!K28</f>
        <v>0</v>
      </c>
      <c r="E28" s="204">
        <f t="shared" si="6"/>
        <v>0</v>
      </c>
      <c r="F28" s="231"/>
      <c r="G28" s="204">
        <f t="shared" si="14"/>
        <v>0</v>
      </c>
      <c r="H28" s="232"/>
      <c r="I28" s="204">
        <f t="shared" si="7"/>
        <v>0</v>
      </c>
      <c r="J28" s="232"/>
      <c r="K28" s="204">
        <f t="shared" si="8"/>
        <v>0</v>
      </c>
      <c r="L28" s="205"/>
      <c r="M28" s="204">
        <f t="shared" si="9"/>
        <v>0</v>
      </c>
      <c r="N28" s="205"/>
      <c r="O28" s="204">
        <f t="shared" si="9"/>
        <v>0</v>
      </c>
      <c r="P28" s="205"/>
      <c r="Q28" s="204">
        <f t="shared" si="1"/>
        <v>0</v>
      </c>
      <c r="R28" s="205"/>
      <c r="S28" s="204">
        <f t="shared" si="2"/>
        <v>0</v>
      </c>
      <c r="T28" s="205"/>
      <c r="U28" s="204">
        <f t="shared" si="3"/>
        <v>0</v>
      </c>
      <c r="V28" s="205"/>
      <c r="W28" s="204">
        <f t="shared" si="4"/>
        <v>0</v>
      </c>
      <c r="X28" s="205"/>
      <c r="Y28" s="204">
        <f t="shared" si="5"/>
        <v>0</v>
      </c>
      <c r="Z28" s="207"/>
      <c r="AA28" s="207"/>
      <c r="AB28" s="207"/>
      <c r="AC28" s="207"/>
      <c r="AD28" s="207"/>
      <c r="AE28" s="207"/>
      <c r="AF28" s="234"/>
      <c r="AG28" s="208"/>
      <c r="AH28" s="204">
        <f t="shared" si="10"/>
        <v>0</v>
      </c>
      <c r="AI28" s="234"/>
      <c r="AJ28" s="208"/>
      <c r="AK28" s="204">
        <f t="shared" si="11"/>
        <v>0</v>
      </c>
      <c r="AL28" s="236"/>
      <c r="AM28" s="231"/>
      <c r="AN28" s="207"/>
      <c r="AO28" s="231">
        <f t="shared" si="12"/>
        <v>30</v>
      </c>
      <c r="AP28" s="204">
        <f t="shared" si="15"/>
        <v>0</v>
      </c>
    </row>
    <row r="29" spans="2:42">
      <c r="B29" s="230" t="str">
        <f>IF(Empleados!C29="","",Empleados!C29)</f>
        <v/>
      </c>
      <c r="C29" s="230" t="str">
        <f>IF(Empleados!E29="","",Empleados!E29)</f>
        <v/>
      </c>
      <c r="D29" s="204">
        <f>Empleados!G29+Empleados!I29+Empleados!K29</f>
        <v>0</v>
      </c>
      <c r="E29" s="204">
        <f t="shared" si="6"/>
        <v>0</v>
      </c>
      <c r="F29" s="231"/>
      <c r="G29" s="204">
        <f t="shared" si="14"/>
        <v>0</v>
      </c>
      <c r="H29" s="232"/>
      <c r="I29" s="204">
        <f t="shared" si="7"/>
        <v>0</v>
      </c>
      <c r="J29" s="232"/>
      <c r="K29" s="204">
        <f t="shared" si="8"/>
        <v>0</v>
      </c>
      <c r="L29" s="205"/>
      <c r="M29" s="204">
        <f t="shared" si="9"/>
        <v>0</v>
      </c>
      <c r="N29" s="205"/>
      <c r="O29" s="204">
        <f t="shared" si="9"/>
        <v>0</v>
      </c>
      <c r="P29" s="205"/>
      <c r="Q29" s="204">
        <f t="shared" si="1"/>
        <v>0</v>
      </c>
      <c r="R29" s="205"/>
      <c r="S29" s="204">
        <f t="shared" si="2"/>
        <v>0</v>
      </c>
      <c r="T29" s="205"/>
      <c r="U29" s="204">
        <f t="shared" si="3"/>
        <v>0</v>
      </c>
      <c r="V29" s="205"/>
      <c r="W29" s="204">
        <f t="shared" si="4"/>
        <v>0</v>
      </c>
      <c r="X29" s="205"/>
      <c r="Y29" s="204">
        <f t="shared" si="5"/>
        <v>0</v>
      </c>
      <c r="Z29" s="207"/>
      <c r="AA29" s="207"/>
      <c r="AB29" s="207"/>
      <c r="AC29" s="207"/>
      <c r="AD29" s="207"/>
      <c r="AE29" s="207"/>
      <c r="AF29" s="234"/>
      <c r="AG29" s="208"/>
      <c r="AH29" s="204">
        <f t="shared" si="10"/>
        <v>0</v>
      </c>
      <c r="AI29" s="234"/>
      <c r="AJ29" s="208"/>
      <c r="AK29" s="204">
        <f t="shared" si="11"/>
        <v>0</v>
      </c>
      <c r="AL29" s="236"/>
      <c r="AM29" s="231"/>
      <c r="AN29" s="207"/>
      <c r="AO29" s="231">
        <f t="shared" si="12"/>
        <v>30</v>
      </c>
      <c r="AP29" s="204">
        <f t="shared" si="15"/>
        <v>0</v>
      </c>
    </row>
    <row r="30" spans="2:42">
      <c r="B30" s="230" t="str">
        <f>IF(Empleados!C30="","",Empleados!C30)</f>
        <v/>
      </c>
      <c r="C30" s="230" t="str">
        <f>IF(Empleados!E30="","",Empleados!E30)</f>
        <v/>
      </c>
      <c r="D30" s="204">
        <f>Empleados!G30+Empleados!I30+Empleados!K30</f>
        <v>0</v>
      </c>
      <c r="E30" s="204">
        <f t="shared" si="6"/>
        <v>0</v>
      </c>
      <c r="F30" s="231"/>
      <c r="G30" s="204">
        <f t="shared" si="14"/>
        <v>0</v>
      </c>
      <c r="H30" s="232"/>
      <c r="I30" s="204">
        <f t="shared" si="7"/>
        <v>0</v>
      </c>
      <c r="J30" s="232"/>
      <c r="K30" s="204">
        <f t="shared" si="8"/>
        <v>0</v>
      </c>
      <c r="L30" s="205"/>
      <c r="M30" s="204">
        <f t="shared" si="9"/>
        <v>0</v>
      </c>
      <c r="N30" s="205"/>
      <c r="O30" s="204">
        <f t="shared" si="9"/>
        <v>0</v>
      </c>
      <c r="P30" s="205"/>
      <c r="Q30" s="204">
        <f t="shared" si="1"/>
        <v>0</v>
      </c>
      <c r="R30" s="205"/>
      <c r="S30" s="204">
        <f t="shared" si="2"/>
        <v>0</v>
      </c>
      <c r="T30" s="205"/>
      <c r="U30" s="204">
        <f t="shared" si="3"/>
        <v>0</v>
      </c>
      <c r="V30" s="205"/>
      <c r="W30" s="204">
        <f t="shared" si="4"/>
        <v>0</v>
      </c>
      <c r="X30" s="205"/>
      <c r="Y30" s="204">
        <f t="shared" si="5"/>
        <v>0</v>
      </c>
      <c r="Z30" s="207"/>
      <c r="AA30" s="207"/>
      <c r="AB30" s="207"/>
      <c r="AC30" s="207"/>
      <c r="AD30" s="207"/>
      <c r="AE30" s="207"/>
      <c r="AF30" s="234"/>
      <c r="AG30" s="208"/>
      <c r="AH30" s="204">
        <f t="shared" si="10"/>
        <v>0</v>
      </c>
      <c r="AI30" s="234"/>
      <c r="AJ30" s="208"/>
      <c r="AK30" s="204">
        <f t="shared" si="11"/>
        <v>0</v>
      </c>
      <c r="AL30" s="236"/>
      <c r="AM30" s="231"/>
      <c r="AN30" s="207"/>
      <c r="AO30" s="231">
        <f t="shared" si="12"/>
        <v>30</v>
      </c>
      <c r="AP30" s="204">
        <f t="shared" si="15"/>
        <v>0</v>
      </c>
    </row>
    <row r="31" spans="2:42">
      <c r="B31" s="230" t="str">
        <f>IF(Empleados!C31="","",Empleados!C31)</f>
        <v/>
      </c>
      <c r="C31" s="230" t="str">
        <f>IF(Empleados!E31="","",Empleados!E31)</f>
        <v/>
      </c>
      <c r="D31" s="204">
        <f>Empleados!G31+Empleados!I31+Empleados!K31</f>
        <v>0</v>
      </c>
      <c r="E31" s="204">
        <f t="shared" si="6"/>
        <v>0</v>
      </c>
      <c r="F31" s="231"/>
      <c r="G31" s="204">
        <f t="shared" si="14"/>
        <v>0</v>
      </c>
      <c r="H31" s="232"/>
      <c r="I31" s="204">
        <f t="shared" si="7"/>
        <v>0</v>
      </c>
      <c r="J31" s="232"/>
      <c r="K31" s="204">
        <f t="shared" si="8"/>
        <v>0</v>
      </c>
      <c r="L31" s="205"/>
      <c r="M31" s="204">
        <f t="shared" si="9"/>
        <v>0</v>
      </c>
      <c r="N31" s="205"/>
      <c r="O31" s="204">
        <f t="shared" si="9"/>
        <v>0</v>
      </c>
      <c r="P31" s="205"/>
      <c r="Q31" s="204">
        <f t="shared" si="1"/>
        <v>0</v>
      </c>
      <c r="R31" s="205"/>
      <c r="S31" s="204">
        <f t="shared" si="2"/>
        <v>0</v>
      </c>
      <c r="T31" s="205"/>
      <c r="U31" s="204">
        <f t="shared" si="3"/>
        <v>0</v>
      </c>
      <c r="V31" s="205"/>
      <c r="W31" s="204">
        <f t="shared" si="4"/>
        <v>0</v>
      </c>
      <c r="X31" s="205"/>
      <c r="Y31" s="204">
        <f t="shared" si="5"/>
        <v>0</v>
      </c>
      <c r="Z31" s="207"/>
      <c r="AA31" s="207"/>
      <c r="AB31" s="207"/>
      <c r="AC31" s="207"/>
      <c r="AD31" s="207"/>
      <c r="AE31" s="207"/>
      <c r="AF31" s="234"/>
      <c r="AG31" s="208"/>
      <c r="AH31" s="204">
        <f t="shared" si="10"/>
        <v>0</v>
      </c>
      <c r="AI31" s="234"/>
      <c r="AJ31" s="208"/>
      <c r="AK31" s="204">
        <f t="shared" si="11"/>
        <v>0</v>
      </c>
      <c r="AL31" s="236"/>
      <c r="AM31" s="231"/>
      <c r="AN31" s="207"/>
      <c r="AO31" s="231">
        <f t="shared" si="12"/>
        <v>30</v>
      </c>
      <c r="AP31" s="204">
        <f t="shared" si="15"/>
        <v>0</v>
      </c>
    </row>
    <row r="32" spans="2:42">
      <c r="B32" s="230" t="str">
        <f>IF(Empleados!C32="","",Empleados!C32)</f>
        <v/>
      </c>
      <c r="C32" s="230" t="str">
        <f>IF(Empleados!E32="","",Empleados!E32)</f>
        <v/>
      </c>
      <c r="D32" s="204">
        <f>Empleados!G32+Empleados!I32+Empleados!K32</f>
        <v>0</v>
      </c>
      <c r="E32" s="204">
        <f t="shared" si="6"/>
        <v>0</v>
      </c>
      <c r="F32" s="231"/>
      <c r="G32" s="204">
        <f t="shared" si="14"/>
        <v>0</v>
      </c>
      <c r="H32" s="232"/>
      <c r="I32" s="204">
        <f t="shared" si="7"/>
        <v>0</v>
      </c>
      <c r="J32" s="232"/>
      <c r="K32" s="204">
        <f t="shared" si="8"/>
        <v>0</v>
      </c>
      <c r="L32" s="205"/>
      <c r="M32" s="204">
        <f t="shared" si="9"/>
        <v>0</v>
      </c>
      <c r="N32" s="205"/>
      <c r="O32" s="204">
        <f t="shared" si="9"/>
        <v>0</v>
      </c>
      <c r="P32" s="205"/>
      <c r="Q32" s="204">
        <f t="shared" si="1"/>
        <v>0</v>
      </c>
      <c r="R32" s="205"/>
      <c r="S32" s="204">
        <f t="shared" si="2"/>
        <v>0</v>
      </c>
      <c r="T32" s="205"/>
      <c r="U32" s="204">
        <f t="shared" si="3"/>
        <v>0</v>
      </c>
      <c r="V32" s="205"/>
      <c r="W32" s="204">
        <f t="shared" si="4"/>
        <v>0</v>
      </c>
      <c r="X32" s="205"/>
      <c r="Y32" s="204">
        <f t="shared" si="5"/>
        <v>0</v>
      </c>
      <c r="Z32" s="207"/>
      <c r="AA32" s="207"/>
      <c r="AB32" s="207"/>
      <c r="AC32" s="207"/>
      <c r="AD32" s="207"/>
      <c r="AE32" s="207"/>
      <c r="AF32" s="234"/>
      <c r="AG32" s="208"/>
      <c r="AH32" s="204">
        <f t="shared" si="10"/>
        <v>0</v>
      </c>
      <c r="AI32" s="234"/>
      <c r="AJ32" s="208"/>
      <c r="AK32" s="204">
        <f t="shared" si="11"/>
        <v>0</v>
      </c>
      <c r="AL32" s="236"/>
      <c r="AM32" s="231"/>
      <c r="AN32" s="207"/>
      <c r="AO32" s="231">
        <f t="shared" si="12"/>
        <v>30</v>
      </c>
      <c r="AP32" s="204">
        <f t="shared" si="15"/>
        <v>0</v>
      </c>
    </row>
    <row r="33" spans="2:42">
      <c r="B33" s="230" t="str">
        <f>IF(Empleados!C33="","",Empleados!C33)</f>
        <v/>
      </c>
      <c r="C33" s="230" t="str">
        <f>IF(Empleados!E33="","",Empleados!E33)</f>
        <v/>
      </c>
      <c r="D33" s="204">
        <f>Empleados!G33+Empleados!I33+Empleados!K33</f>
        <v>0</v>
      </c>
      <c r="E33" s="204">
        <f t="shared" si="6"/>
        <v>0</v>
      </c>
      <c r="F33" s="231"/>
      <c r="G33" s="204">
        <f t="shared" si="14"/>
        <v>0</v>
      </c>
      <c r="H33" s="232"/>
      <c r="I33" s="204">
        <f t="shared" si="7"/>
        <v>0</v>
      </c>
      <c r="J33" s="232"/>
      <c r="K33" s="204">
        <f t="shared" si="8"/>
        <v>0</v>
      </c>
      <c r="L33" s="205"/>
      <c r="M33" s="204">
        <f t="shared" si="9"/>
        <v>0</v>
      </c>
      <c r="N33" s="205"/>
      <c r="O33" s="204">
        <f t="shared" si="9"/>
        <v>0</v>
      </c>
      <c r="P33" s="205"/>
      <c r="Q33" s="204">
        <f t="shared" si="1"/>
        <v>0</v>
      </c>
      <c r="R33" s="205"/>
      <c r="S33" s="204">
        <f t="shared" si="2"/>
        <v>0</v>
      </c>
      <c r="T33" s="205"/>
      <c r="U33" s="204">
        <f t="shared" si="3"/>
        <v>0</v>
      </c>
      <c r="V33" s="205"/>
      <c r="W33" s="204">
        <f t="shared" si="4"/>
        <v>0</v>
      </c>
      <c r="X33" s="205"/>
      <c r="Y33" s="204">
        <f t="shared" si="5"/>
        <v>0</v>
      </c>
      <c r="Z33" s="207"/>
      <c r="AA33" s="207"/>
      <c r="AB33" s="207"/>
      <c r="AC33" s="207"/>
      <c r="AD33" s="207"/>
      <c r="AE33" s="207"/>
      <c r="AF33" s="234"/>
      <c r="AG33" s="208"/>
      <c r="AH33" s="204">
        <f t="shared" si="10"/>
        <v>0</v>
      </c>
      <c r="AI33" s="234"/>
      <c r="AJ33" s="208"/>
      <c r="AK33" s="204">
        <f t="shared" si="11"/>
        <v>0</v>
      </c>
      <c r="AL33" s="236"/>
      <c r="AM33" s="231"/>
      <c r="AN33" s="207"/>
      <c r="AO33" s="231">
        <f t="shared" si="12"/>
        <v>30</v>
      </c>
      <c r="AP33" s="204">
        <f t="shared" si="15"/>
        <v>0</v>
      </c>
    </row>
    <row r="34" spans="2:42">
      <c r="B34" s="230" t="str">
        <f>IF(Empleados!C34="","",Empleados!C34)</f>
        <v/>
      </c>
      <c r="C34" s="230" t="str">
        <f>IF(Empleados!E34="","",Empleados!E34)</f>
        <v/>
      </c>
      <c r="D34" s="204">
        <f>Empleados!G34+Empleados!I34+Empleados!K34</f>
        <v>0</v>
      </c>
      <c r="E34" s="204">
        <f t="shared" si="6"/>
        <v>0</v>
      </c>
      <c r="F34" s="231"/>
      <c r="G34" s="204">
        <f t="shared" si="14"/>
        <v>0</v>
      </c>
      <c r="H34" s="232"/>
      <c r="I34" s="204">
        <f t="shared" si="7"/>
        <v>0</v>
      </c>
      <c r="J34" s="232"/>
      <c r="K34" s="204">
        <f t="shared" si="8"/>
        <v>0</v>
      </c>
      <c r="L34" s="205"/>
      <c r="M34" s="204">
        <f t="shared" si="9"/>
        <v>0</v>
      </c>
      <c r="N34" s="205"/>
      <c r="O34" s="204">
        <f t="shared" si="9"/>
        <v>0</v>
      </c>
      <c r="P34" s="205"/>
      <c r="Q34" s="204">
        <f t="shared" si="1"/>
        <v>0</v>
      </c>
      <c r="R34" s="205"/>
      <c r="S34" s="204">
        <f t="shared" si="2"/>
        <v>0</v>
      </c>
      <c r="T34" s="205"/>
      <c r="U34" s="204">
        <f t="shared" si="3"/>
        <v>0</v>
      </c>
      <c r="V34" s="205"/>
      <c r="W34" s="204">
        <f t="shared" si="4"/>
        <v>0</v>
      </c>
      <c r="X34" s="205"/>
      <c r="Y34" s="204">
        <f t="shared" si="5"/>
        <v>0</v>
      </c>
      <c r="Z34" s="207"/>
      <c r="AA34" s="207"/>
      <c r="AB34" s="207"/>
      <c r="AC34" s="207"/>
      <c r="AD34" s="207"/>
      <c r="AE34" s="207"/>
      <c r="AF34" s="234"/>
      <c r="AG34" s="208"/>
      <c r="AH34" s="204">
        <f t="shared" si="10"/>
        <v>0</v>
      </c>
      <c r="AI34" s="234"/>
      <c r="AJ34" s="208"/>
      <c r="AK34" s="204">
        <f t="shared" si="11"/>
        <v>0</v>
      </c>
      <c r="AL34" s="236"/>
      <c r="AM34" s="231"/>
      <c r="AN34" s="207"/>
      <c r="AO34" s="231">
        <f t="shared" si="12"/>
        <v>30</v>
      </c>
      <c r="AP34" s="204">
        <f t="shared" si="15"/>
        <v>0</v>
      </c>
    </row>
    <row r="35" spans="2:42">
      <c r="B35" s="230" t="str">
        <f>IF(Empleados!C35="","",Empleados!C35)</f>
        <v/>
      </c>
      <c r="C35" s="230" t="str">
        <f>IF(Empleados!E35="","",Empleados!E35)</f>
        <v/>
      </c>
      <c r="D35" s="204">
        <f>Empleados!G35+Empleados!I35+Empleados!K35</f>
        <v>0</v>
      </c>
      <c r="E35" s="204">
        <f t="shared" si="6"/>
        <v>0</v>
      </c>
      <c r="F35" s="231"/>
      <c r="G35" s="204">
        <f t="shared" si="14"/>
        <v>0</v>
      </c>
      <c r="H35" s="232"/>
      <c r="I35" s="204">
        <f t="shared" si="7"/>
        <v>0</v>
      </c>
      <c r="J35" s="232"/>
      <c r="K35" s="204">
        <f t="shared" si="8"/>
        <v>0</v>
      </c>
      <c r="L35" s="205"/>
      <c r="M35" s="204">
        <f t="shared" si="9"/>
        <v>0</v>
      </c>
      <c r="N35" s="205"/>
      <c r="O35" s="204">
        <f t="shared" si="9"/>
        <v>0</v>
      </c>
      <c r="P35" s="205"/>
      <c r="Q35" s="204">
        <f t="shared" si="1"/>
        <v>0</v>
      </c>
      <c r="R35" s="205"/>
      <c r="S35" s="204">
        <f t="shared" si="2"/>
        <v>0</v>
      </c>
      <c r="T35" s="205"/>
      <c r="U35" s="204">
        <f t="shared" si="3"/>
        <v>0</v>
      </c>
      <c r="V35" s="205"/>
      <c r="W35" s="204">
        <f t="shared" si="4"/>
        <v>0</v>
      </c>
      <c r="X35" s="205"/>
      <c r="Y35" s="204">
        <f t="shared" si="5"/>
        <v>0</v>
      </c>
      <c r="Z35" s="207"/>
      <c r="AA35" s="207"/>
      <c r="AB35" s="207"/>
      <c r="AC35" s="207"/>
      <c r="AD35" s="207"/>
      <c r="AE35" s="207"/>
      <c r="AF35" s="234"/>
      <c r="AG35" s="208"/>
      <c r="AH35" s="204">
        <f t="shared" si="10"/>
        <v>0</v>
      </c>
      <c r="AI35" s="234"/>
      <c r="AJ35" s="208"/>
      <c r="AK35" s="204">
        <f t="shared" si="11"/>
        <v>0</v>
      </c>
      <c r="AL35" s="236"/>
      <c r="AM35" s="231"/>
      <c r="AN35" s="207"/>
      <c r="AO35" s="231">
        <f t="shared" si="12"/>
        <v>30</v>
      </c>
      <c r="AP35" s="204">
        <f t="shared" si="15"/>
        <v>0</v>
      </c>
    </row>
    <row r="36" spans="2:42">
      <c r="B36" s="230" t="str">
        <f>IF(Empleados!C36="","",Empleados!C36)</f>
        <v/>
      </c>
      <c r="C36" s="230" t="str">
        <f>IF(Empleados!E36="","",Empleados!E36)</f>
        <v/>
      </c>
      <c r="D36" s="204">
        <f>Empleados!G36+Empleados!I36+Empleados!K36</f>
        <v>0</v>
      </c>
      <c r="E36" s="204">
        <f t="shared" si="6"/>
        <v>0</v>
      </c>
      <c r="F36" s="231"/>
      <c r="G36" s="204">
        <f t="shared" si="14"/>
        <v>0</v>
      </c>
      <c r="H36" s="232"/>
      <c r="I36" s="204">
        <f t="shared" si="7"/>
        <v>0</v>
      </c>
      <c r="J36" s="232"/>
      <c r="K36" s="204">
        <f t="shared" si="8"/>
        <v>0</v>
      </c>
      <c r="L36" s="205"/>
      <c r="M36" s="204">
        <f t="shared" si="9"/>
        <v>0</v>
      </c>
      <c r="N36" s="205"/>
      <c r="O36" s="204">
        <f t="shared" si="9"/>
        <v>0</v>
      </c>
      <c r="P36" s="205"/>
      <c r="Q36" s="204">
        <f t="shared" si="1"/>
        <v>0</v>
      </c>
      <c r="R36" s="205"/>
      <c r="S36" s="204">
        <f t="shared" si="2"/>
        <v>0</v>
      </c>
      <c r="T36" s="205"/>
      <c r="U36" s="204">
        <f t="shared" si="3"/>
        <v>0</v>
      </c>
      <c r="V36" s="205"/>
      <c r="W36" s="204">
        <f t="shared" si="4"/>
        <v>0</v>
      </c>
      <c r="X36" s="205"/>
      <c r="Y36" s="204">
        <f t="shared" si="5"/>
        <v>0</v>
      </c>
      <c r="Z36" s="207"/>
      <c r="AA36" s="207"/>
      <c r="AB36" s="207"/>
      <c r="AC36" s="207"/>
      <c r="AD36" s="207"/>
      <c r="AE36" s="207"/>
      <c r="AF36" s="234"/>
      <c r="AG36" s="208"/>
      <c r="AH36" s="204">
        <f t="shared" si="10"/>
        <v>0</v>
      </c>
      <c r="AI36" s="234"/>
      <c r="AJ36" s="208"/>
      <c r="AK36" s="204">
        <f t="shared" si="11"/>
        <v>0</v>
      </c>
      <c r="AL36" s="236"/>
      <c r="AM36" s="231"/>
      <c r="AN36" s="207"/>
      <c r="AO36" s="231">
        <f t="shared" si="12"/>
        <v>30</v>
      </c>
      <c r="AP36" s="204">
        <f t="shared" si="15"/>
        <v>0</v>
      </c>
    </row>
    <row r="37" spans="2:42">
      <c r="B37" s="230" t="str">
        <f>IF(Empleados!C37="","",Empleados!C37)</f>
        <v/>
      </c>
      <c r="C37" s="230" t="str">
        <f>IF(Empleados!E37="","",Empleados!E37)</f>
        <v/>
      </c>
      <c r="D37" s="204">
        <f>Empleados!G37+Empleados!I37+Empleados!K37</f>
        <v>0</v>
      </c>
      <c r="E37" s="204">
        <f t="shared" si="6"/>
        <v>0</v>
      </c>
      <c r="F37" s="231"/>
      <c r="G37" s="204">
        <f t="shared" si="14"/>
        <v>0</v>
      </c>
      <c r="H37" s="232"/>
      <c r="I37" s="204">
        <f t="shared" si="7"/>
        <v>0</v>
      </c>
      <c r="J37" s="232"/>
      <c r="K37" s="204">
        <f t="shared" si="8"/>
        <v>0</v>
      </c>
      <c r="L37" s="205"/>
      <c r="M37" s="204">
        <f t="shared" si="9"/>
        <v>0</v>
      </c>
      <c r="N37" s="205"/>
      <c r="O37" s="204">
        <f t="shared" si="9"/>
        <v>0</v>
      </c>
      <c r="P37" s="205"/>
      <c r="Q37" s="204">
        <f t="shared" si="1"/>
        <v>0</v>
      </c>
      <c r="R37" s="205"/>
      <c r="S37" s="204">
        <f t="shared" si="2"/>
        <v>0</v>
      </c>
      <c r="T37" s="205"/>
      <c r="U37" s="204">
        <f t="shared" si="3"/>
        <v>0</v>
      </c>
      <c r="V37" s="205"/>
      <c r="W37" s="204">
        <f t="shared" si="4"/>
        <v>0</v>
      </c>
      <c r="X37" s="205"/>
      <c r="Y37" s="204">
        <f t="shared" si="5"/>
        <v>0</v>
      </c>
      <c r="Z37" s="207"/>
      <c r="AA37" s="207"/>
      <c r="AB37" s="207"/>
      <c r="AC37" s="207"/>
      <c r="AD37" s="207"/>
      <c r="AE37" s="207"/>
      <c r="AF37" s="234"/>
      <c r="AG37" s="208"/>
      <c r="AH37" s="204">
        <f t="shared" si="10"/>
        <v>0</v>
      </c>
      <c r="AI37" s="234"/>
      <c r="AJ37" s="208"/>
      <c r="AK37" s="204">
        <f t="shared" si="11"/>
        <v>0</v>
      </c>
      <c r="AL37" s="236"/>
      <c r="AM37" s="231"/>
      <c r="AN37" s="207"/>
      <c r="AO37" s="231">
        <f t="shared" si="12"/>
        <v>30</v>
      </c>
      <c r="AP37" s="204">
        <f t="shared" si="15"/>
        <v>0</v>
      </c>
    </row>
    <row r="38" spans="2:42">
      <c r="B38" s="230" t="str">
        <f>IF(Empleados!C38="","",Empleados!C38)</f>
        <v/>
      </c>
      <c r="C38" s="230" t="str">
        <f>IF(Empleados!E38="","",Empleados!E38)</f>
        <v/>
      </c>
      <c r="D38" s="204">
        <f>Empleados!G38+Empleados!I38+Empleados!K38</f>
        <v>0</v>
      </c>
      <c r="E38" s="204">
        <f t="shared" si="6"/>
        <v>0</v>
      </c>
      <c r="F38" s="231"/>
      <c r="G38" s="204">
        <f t="shared" si="14"/>
        <v>0</v>
      </c>
      <c r="H38" s="232"/>
      <c r="I38" s="204">
        <f t="shared" si="7"/>
        <v>0</v>
      </c>
      <c r="J38" s="232"/>
      <c r="K38" s="204">
        <f t="shared" si="8"/>
        <v>0</v>
      </c>
      <c r="L38" s="205"/>
      <c r="M38" s="204">
        <f t="shared" si="9"/>
        <v>0</v>
      </c>
      <c r="N38" s="205"/>
      <c r="O38" s="204">
        <f t="shared" si="9"/>
        <v>0</v>
      </c>
      <c r="P38" s="205"/>
      <c r="Q38" s="204">
        <f t="shared" si="1"/>
        <v>0</v>
      </c>
      <c r="R38" s="205"/>
      <c r="S38" s="204">
        <f t="shared" si="2"/>
        <v>0</v>
      </c>
      <c r="T38" s="205"/>
      <c r="U38" s="204">
        <f t="shared" si="3"/>
        <v>0</v>
      </c>
      <c r="V38" s="205"/>
      <c r="W38" s="204">
        <f t="shared" si="4"/>
        <v>0</v>
      </c>
      <c r="X38" s="205"/>
      <c r="Y38" s="204">
        <f t="shared" si="5"/>
        <v>0</v>
      </c>
      <c r="Z38" s="207"/>
      <c r="AA38" s="207"/>
      <c r="AB38" s="207"/>
      <c r="AC38" s="207"/>
      <c r="AD38" s="207"/>
      <c r="AE38" s="207"/>
      <c r="AF38" s="234"/>
      <c r="AG38" s="208"/>
      <c r="AH38" s="204">
        <f t="shared" si="10"/>
        <v>0</v>
      </c>
      <c r="AI38" s="234"/>
      <c r="AJ38" s="208"/>
      <c r="AK38" s="204">
        <f t="shared" si="11"/>
        <v>0</v>
      </c>
      <c r="AL38" s="236"/>
      <c r="AM38" s="231"/>
      <c r="AN38" s="207"/>
      <c r="AO38" s="231">
        <f t="shared" si="12"/>
        <v>30</v>
      </c>
      <c r="AP38" s="204">
        <f t="shared" si="15"/>
        <v>0</v>
      </c>
    </row>
    <row r="39" spans="2:42">
      <c r="B39" s="230" t="str">
        <f>IF(Empleados!C39="","",Empleados!C39)</f>
        <v/>
      </c>
      <c r="C39" s="230" t="str">
        <f>IF(Empleados!E39="","",Empleados!E39)</f>
        <v/>
      </c>
      <c r="D39" s="204">
        <f>Empleados!G39+Empleados!I39+Empleados!K39</f>
        <v>0</v>
      </c>
      <c r="E39" s="204">
        <f t="shared" si="6"/>
        <v>0</v>
      </c>
      <c r="F39" s="231"/>
      <c r="G39" s="204">
        <f t="shared" si="14"/>
        <v>0</v>
      </c>
      <c r="H39" s="232"/>
      <c r="I39" s="204">
        <f t="shared" si="7"/>
        <v>0</v>
      </c>
      <c r="J39" s="232"/>
      <c r="K39" s="204">
        <f t="shared" si="8"/>
        <v>0</v>
      </c>
      <c r="L39" s="205"/>
      <c r="M39" s="204">
        <f t="shared" si="9"/>
        <v>0</v>
      </c>
      <c r="N39" s="205"/>
      <c r="O39" s="204">
        <f t="shared" si="9"/>
        <v>0</v>
      </c>
      <c r="P39" s="205"/>
      <c r="Q39" s="204">
        <f t="shared" si="1"/>
        <v>0</v>
      </c>
      <c r="R39" s="205"/>
      <c r="S39" s="204">
        <f t="shared" si="2"/>
        <v>0</v>
      </c>
      <c r="T39" s="205"/>
      <c r="U39" s="204">
        <f t="shared" si="3"/>
        <v>0</v>
      </c>
      <c r="V39" s="205"/>
      <c r="W39" s="204">
        <f t="shared" si="4"/>
        <v>0</v>
      </c>
      <c r="X39" s="205"/>
      <c r="Y39" s="204">
        <f t="shared" si="5"/>
        <v>0</v>
      </c>
      <c r="Z39" s="207"/>
      <c r="AA39" s="207"/>
      <c r="AB39" s="207"/>
      <c r="AC39" s="207"/>
      <c r="AD39" s="207"/>
      <c r="AE39" s="207"/>
      <c r="AF39" s="234"/>
      <c r="AG39" s="208"/>
      <c r="AH39" s="204">
        <f t="shared" si="10"/>
        <v>0</v>
      </c>
      <c r="AI39" s="234"/>
      <c r="AJ39" s="208"/>
      <c r="AK39" s="204">
        <f t="shared" si="11"/>
        <v>0</v>
      </c>
      <c r="AL39" s="236"/>
      <c r="AM39" s="231"/>
      <c r="AN39" s="207"/>
      <c r="AO39" s="231">
        <f t="shared" si="12"/>
        <v>30</v>
      </c>
      <c r="AP39" s="204">
        <f t="shared" si="15"/>
        <v>0</v>
      </c>
    </row>
    <row r="40" spans="2:42">
      <c r="B40" s="230" t="str">
        <f>IF(Empleados!C40="","",Empleados!C40)</f>
        <v/>
      </c>
      <c r="C40" s="230" t="str">
        <f>IF(Empleados!E40="","",Empleados!E40)</f>
        <v/>
      </c>
      <c r="D40" s="204">
        <f>Empleados!G40+Empleados!I40+Empleados!K40</f>
        <v>0</v>
      </c>
      <c r="E40" s="204">
        <f t="shared" si="6"/>
        <v>0</v>
      </c>
      <c r="F40" s="231"/>
      <c r="G40" s="204">
        <f t="shared" si="14"/>
        <v>0</v>
      </c>
      <c r="H40" s="232"/>
      <c r="I40" s="204">
        <f t="shared" si="7"/>
        <v>0</v>
      </c>
      <c r="J40" s="232"/>
      <c r="K40" s="204">
        <f t="shared" si="8"/>
        <v>0</v>
      </c>
      <c r="L40" s="205"/>
      <c r="M40" s="204">
        <f t="shared" si="9"/>
        <v>0</v>
      </c>
      <c r="N40" s="205"/>
      <c r="O40" s="204">
        <f t="shared" si="9"/>
        <v>0</v>
      </c>
      <c r="P40" s="205"/>
      <c r="Q40" s="204">
        <f t="shared" ref="Q40:Q58" si="16">IF(AND($D40="",P40=""),0,P40*$E40)</f>
        <v>0</v>
      </c>
      <c r="R40" s="205"/>
      <c r="S40" s="204">
        <f t="shared" ref="S40:S58" si="17">IF(AND($D40="",R40=""),0,R40*$E40)</f>
        <v>0</v>
      </c>
      <c r="T40" s="205"/>
      <c r="U40" s="204">
        <f t="shared" ref="U40:U58" si="18">IF(AND($D40="",T40=""),0,T40*$E40)</f>
        <v>0</v>
      </c>
      <c r="V40" s="205"/>
      <c r="W40" s="204">
        <f t="shared" ref="W40:W58" si="19">IF(AND($D40="",V40=""),0,V40*$E40)</f>
        <v>0</v>
      </c>
      <c r="X40" s="205"/>
      <c r="Y40" s="204">
        <f t="shared" ref="Y40:Y58" si="20">IF(AND($D40="",X40=""),0,X40*$E40)</f>
        <v>0</v>
      </c>
      <c r="Z40" s="207"/>
      <c r="AA40" s="207"/>
      <c r="AB40" s="207"/>
      <c r="AC40" s="207"/>
      <c r="AD40" s="207"/>
      <c r="AE40" s="207"/>
      <c r="AF40" s="234"/>
      <c r="AG40" s="208"/>
      <c r="AH40" s="204">
        <f t="shared" si="10"/>
        <v>0</v>
      </c>
      <c r="AI40" s="234"/>
      <c r="AJ40" s="208"/>
      <c r="AK40" s="204">
        <f t="shared" si="11"/>
        <v>0</v>
      </c>
      <c r="AL40" s="236"/>
      <c r="AM40" s="231"/>
      <c r="AN40" s="207"/>
      <c r="AO40" s="231">
        <f t="shared" si="12"/>
        <v>30</v>
      </c>
      <c r="AP40" s="204">
        <f t="shared" si="15"/>
        <v>0</v>
      </c>
    </row>
    <row r="41" spans="2:42">
      <c r="B41" s="230" t="str">
        <f>IF(Empleados!C41="","",Empleados!C41)</f>
        <v/>
      </c>
      <c r="C41" s="230" t="str">
        <f>IF(Empleados!E41="","",Empleados!E41)</f>
        <v/>
      </c>
      <c r="D41" s="204">
        <f>Empleados!G41+Empleados!I41+Empleados!K41</f>
        <v>0</v>
      </c>
      <c r="E41" s="204">
        <f t="shared" si="6"/>
        <v>0</v>
      </c>
      <c r="F41" s="231"/>
      <c r="G41" s="204">
        <f t="shared" si="14"/>
        <v>0</v>
      </c>
      <c r="H41" s="232"/>
      <c r="I41" s="204">
        <f t="shared" si="7"/>
        <v>0</v>
      </c>
      <c r="J41" s="232"/>
      <c r="K41" s="204">
        <f t="shared" si="8"/>
        <v>0</v>
      </c>
      <c r="L41" s="205"/>
      <c r="M41" s="204">
        <f t="shared" si="9"/>
        <v>0</v>
      </c>
      <c r="N41" s="205"/>
      <c r="O41" s="204">
        <f t="shared" si="9"/>
        <v>0</v>
      </c>
      <c r="P41" s="205"/>
      <c r="Q41" s="204">
        <f t="shared" si="16"/>
        <v>0</v>
      </c>
      <c r="R41" s="205"/>
      <c r="S41" s="204">
        <f t="shared" si="17"/>
        <v>0</v>
      </c>
      <c r="T41" s="205"/>
      <c r="U41" s="204">
        <f t="shared" si="18"/>
        <v>0</v>
      </c>
      <c r="V41" s="205"/>
      <c r="W41" s="204">
        <f t="shared" si="19"/>
        <v>0</v>
      </c>
      <c r="X41" s="205"/>
      <c r="Y41" s="204">
        <f t="shared" si="20"/>
        <v>0</v>
      </c>
      <c r="Z41" s="207"/>
      <c r="AA41" s="207"/>
      <c r="AB41" s="207"/>
      <c r="AC41" s="207"/>
      <c r="AD41" s="207"/>
      <c r="AE41" s="207"/>
      <c r="AF41" s="234"/>
      <c r="AG41" s="208"/>
      <c r="AH41" s="204">
        <f t="shared" si="10"/>
        <v>0</v>
      </c>
      <c r="AI41" s="234"/>
      <c r="AJ41" s="208"/>
      <c r="AK41" s="204">
        <f t="shared" si="11"/>
        <v>0</v>
      </c>
      <c r="AL41" s="236"/>
      <c r="AM41" s="231"/>
      <c r="AN41" s="207"/>
      <c r="AO41" s="231">
        <f t="shared" si="12"/>
        <v>30</v>
      </c>
      <c r="AP41" s="204">
        <f t="shared" si="15"/>
        <v>0</v>
      </c>
    </row>
    <row r="42" spans="2:42">
      <c r="B42" s="230" t="str">
        <f>IF(Empleados!C42="","",Empleados!C42)</f>
        <v/>
      </c>
      <c r="C42" s="230" t="str">
        <f>IF(Empleados!E42="","",Empleados!E42)</f>
        <v/>
      </c>
      <c r="D42" s="204">
        <f>Empleados!G42+Empleados!I42+Empleados!K42</f>
        <v>0</v>
      </c>
      <c r="E42" s="204">
        <f t="shared" si="6"/>
        <v>0</v>
      </c>
      <c r="F42" s="231"/>
      <c r="G42" s="204">
        <f t="shared" si="14"/>
        <v>0</v>
      </c>
      <c r="H42" s="232"/>
      <c r="I42" s="204">
        <f t="shared" si="7"/>
        <v>0</v>
      </c>
      <c r="J42" s="232"/>
      <c r="K42" s="204">
        <f t="shared" si="8"/>
        <v>0</v>
      </c>
      <c r="L42" s="205"/>
      <c r="M42" s="204">
        <f t="shared" si="9"/>
        <v>0</v>
      </c>
      <c r="N42" s="205"/>
      <c r="O42" s="204">
        <f t="shared" si="9"/>
        <v>0</v>
      </c>
      <c r="P42" s="205"/>
      <c r="Q42" s="204">
        <f t="shared" si="16"/>
        <v>0</v>
      </c>
      <c r="R42" s="205"/>
      <c r="S42" s="204">
        <f t="shared" si="17"/>
        <v>0</v>
      </c>
      <c r="T42" s="205"/>
      <c r="U42" s="204">
        <f t="shared" si="18"/>
        <v>0</v>
      </c>
      <c r="V42" s="205"/>
      <c r="W42" s="204">
        <f t="shared" si="19"/>
        <v>0</v>
      </c>
      <c r="X42" s="205"/>
      <c r="Y42" s="204">
        <f t="shared" si="20"/>
        <v>0</v>
      </c>
      <c r="Z42" s="207"/>
      <c r="AA42" s="207"/>
      <c r="AB42" s="207"/>
      <c r="AC42" s="207"/>
      <c r="AD42" s="207"/>
      <c r="AE42" s="207"/>
      <c r="AF42" s="234"/>
      <c r="AG42" s="208"/>
      <c r="AH42" s="204">
        <f t="shared" si="10"/>
        <v>0</v>
      </c>
      <c r="AI42" s="234"/>
      <c r="AJ42" s="208"/>
      <c r="AK42" s="204">
        <f t="shared" si="11"/>
        <v>0</v>
      </c>
      <c r="AL42" s="236"/>
      <c r="AM42" s="231"/>
      <c r="AN42" s="207"/>
      <c r="AO42" s="231">
        <f t="shared" si="12"/>
        <v>30</v>
      </c>
      <c r="AP42" s="204">
        <f t="shared" si="15"/>
        <v>0</v>
      </c>
    </row>
    <row r="43" spans="2:42">
      <c r="B43" s="230" t="str">
        <f>IF(Empleados!C43="","",Empleados!C43)</f>
        <v/>
      </c>
      <c r="C43" s="230" t="str">
        <f>IF(Empleados!E43="","",Empleados!E43)</f>
        <v/>
      </c>
      <c r="D43" s="204">
        <f>Empleados!G43+Empleados!I43+Empleados!K43</f>
        <v>0</v>
      </c>
      <c r="E43" s="204">
        <f t="shared" si="6"/>
        <v>0</v>
      </c>
      <c r="F43" s="231"/>
      <c r="G43" s="204">
        <f t="shared" si="14"/>
        <v>0</v>
      </c>
      <c r="H43" s="232"/>
      <c r="I43" s="204">
        <f t="shared" si="7"/>
        <v>0</v>
      </c>
      <c r="J43" s="232"/>
      <c r="K43" s="204">
        <f t="shared" si="8"/>
        <v>0</v>
      </c>
      <c r="L43" s="205"/>
      <c r="M43" s="204">
        <f t="shared" si="9"/>
        <v>0</v>
      </c>
      <c r="N43" s="205"/>
      <c r="O43" s="204">
        <f t="shared" si="9"/>
        <v>0</v>
      </c>
      <c r="P43" s="205"/>
      <c r="Q43" s="204">
        <f t="shared" si="16"/>
        <v>0</v>
      </c>
      <c r="R43" s="205"/>
      <c r="S43" s="204">
        <f t="shared" si="17"/>
        <v>0</v>
      </c>
      <c r="T43" s="205"/>
      <c r="U43" s="204">
        <f t="shared" si="18"/>
        <v>0</v>
      </c>
      <c r="V43" s="205"/>
      <c r="W43" s="204">
        <f t="shared" si="19"/>
        <v>0</v>
      </c>
      <c r="X43" s="205"/>
      <c r="Y43" s="204">
        <f t="shared" si="20"/>
        <v>0</v>
      </c>
      <c r="Z43" s="207"/>
      <c r="AA43" s="207"/>
      <c r="AB43" s="207"/>
      <c r="AC43" s="207"/>
      <c r="AD43" s="207"/>
      <c r="AE43" s="207"/>
      <c r="AF43" s="234"/>
      <c r="AG43" s="208"/>
      <c r="AH43" s="204">
        <f t="shared" si="10"/>
        <v>0</v>
      </c>
      <c r="AI43" s="234"/>
      <c r="AJ43" s="208"/>
      <c r="AK43" s="204">
        <f t="shared" si="11"/>
        <v>0</v>
      </c>
      <c r="AL43" s="236"/>
      <c r="AM43" s="231"/>
      <c r="AN43" s="207"/>
      <c r="AO43" s="231">
        <f t="shared" si="12"/>
        <v>30</v>
      </c>
      <c r="AP43" s="204">
        <f t="shared" si="15"/>
        <v>0</v>
      </c>
    </row>
    <row r="44" spans="2:42">
      <c r="B44" s="230" t="str">
        <f>IF(Empleados!C44="","",Empleados!C44)</f>
        <v/>
      </c>
      <c r="C44" s="230" t="str">
        <f>IF(Empleados!E44="","",Empleados!E44)</f>
        <v/>
      </c>
      <c r="D44" s="204">
        <f>Empleados!G44+Empleados!I44+Empleados!K44</f>
        <v>0</v>
      </c>
      <c r="E44" s="204">
        <f t="shared" si="6"/>
        <v>0</v>
      </c>
      <c r="F44" s="231"/>
      <c r="G44" s="204">
        <f t="shared" si="14"/>
        <v>0</v>
      </c>
      <c r="H44" s="232"/>
      <c r="I44" s="204">
        <f t="shared" si="7"/>
        <v>0</v>
      </c>
      <c r="J44" s="232"/>
      <c r="K44" s="204">
        <f t="shared" si="8"/>
        <v>0</v>
      </c>
      <c r="L44" s="205"/>
      <c r="M44" s="204">
        <f t="shared" si="9"/>
        <v>0</v>
      </c>
      <c r="N44" s="205"/>
      <c r="O44" s="204">
        <f t="shared" si="9"/>
        <v>0</v>
      </c>
      <c r="P44" s="205"/>
      <c r="Q44" s="204">
        <f t="shared" si="16"/>
        <v>0</v>
      </c>
      <c r="R44" s="205"/>
      <c r="S44" s="204">
        <f t="shared" si="17"/>
        <v>0</v>
      </c>
      <c r="T44" s="205"/>
      <c r="U44" s="204">
        <f t="shared" si="18"/>
        <v>0</v>
      </c>
      <c r="V44" s="205"/>
      <c r="W44" s="204">
        <f t="shared" si="19"/>
        <v>0</v>
      </c>
      <c r="X44" s="205"/>
      <c r="Y44" s="204">
        <f t="shared" si="20"/>
        <v>0</v>
      </c>
      <c r="Z44" s="207"/>
      <c r="AA44" s="207"/>
      <c r="AB44" s="207"/>
      <c r="AC44" s="207"/>
      <c r="AD44" s="207"/>
      <c r="AE44" s="207"/>
      <c r="AF44" s="234"/>
      <c r="AG44" s="208"/>
      <c r="AH44" s="204">
        <f t="shared" si="10"/>
        <v>0</v>
      </c>
      <c r="AI44" s="234"/>
      <c r="AJ44" s="208"/>
      <c r="AK44" s="204">
        <f t="shared" si="11"/>
        <v>0</v>
      </c>
      <c r="AL44" s="236"/>
      <c r="AM44" s="231"/>
      <c r="AN44" s="207"/>
      <c r="AO44" s="231">
        <f t="shared" si="12"/>
        <v>30</v>
      </c>
      <c r="AP44" s="204">
        <f t="shared" si="15"/>
        <v>0</v>
      </c>
    </row>
    <row r="45" spans="2:42">
      <c r="B45" s="230" t="str">
        <f>IF(Empleados!C45="","",Empleados!C45)</f>
        <v/>
      </c>
      <c r="C45" s="230" t="str">
        <f>IF(Empleados!E45="","",Empleados!E45)</f>
        <v/>
      </c>
      <c r="D45" s="204">
        <f>Empleados!G45+Empleados!I45+Empleados!K45</f>
        <v>0</v>
      </c>
      <c r="E45" s="204">
        <f t="shared" si="6"/>
        <v>0</v>
      </c>
      <c r="F45" s="231"/>
      <c r="G45" s="204">
        <f t="shared" si="14"/>
        <v>0</v>
      </c>
      <c r="H45" s="232"/>
      <c r="I45" s="204">
        <f t="shared" si="7"/>
        <v>0</v>
      </c>
      <c r="J45" s="232"/>
      <c r="K45" s="204">
        <f t="shared" si="8"/>
        <v>0</v>
      </c>
      <c r="L45" s="205"/>
      <c r="M45" s="204">
        <f t="shared" si="9"/>
        <v>0</v>
      </c>
      <c r="N45" s="205"/>
      <c r="O45" s="204">
        <f t="shared" si="9"/>
        <v>0</v>
      </c>
      <c r="P45" s="205"/>
      <c r="Q45" s="204">
        <f t="shared" si="16"/>
        <v>0</v>
      </c>
      <c r="R45" s="205"/>
      <c r="S45" s="204">
        <f t="shared" si="17"/>
        <v>0</v>
      </c>
      <c r="T45" s="205"/>
      <c r="U45" s="204">
        <f t="shared" si="18"/>
        <v>0</v>
      </c>
      <c r="V45" s="205"/>
      <c r="W45" s="204">
        <f t="shared" si="19"/>
        <v>0</v>
      </c>
      <c r="X45" s="205"/>
      <c r="Y45" s="204">
        <f t="shared" si="20"/>
        <v>0</v>
      </c>
      <c r="Z45" s="207"/>
      <c r="AA45" s="207"/>
      <c r="AB45" s="207"/>
      <c r="AC45" s="207"/>
      <c r="AD45" s="207"/>
      <c r="AE45" s="207"/>
      <c r="AF45" s="234"/>
      <c r="AG45" s="208"/>
      <c r="AH45" s="204">
        <f t="shared" si="10"/>
        <v>0</v>
      </c>
      <c r="AI45" s="234"/>
      <c r="AJ45" s="208"/>
      <c r="AK45" s="204">
        <f t="shared" si="11"/>
        <v>0</v>
      </c>
      <c r="AL45" s="236"/>
      <c r="AM45" s="231"/>
      <c r="AN45" s="207"/>
      <c r="AO45" s="231">
        <f t="shared" si="12"/>
        <v>30</v>
      </c>
      <c r="AP45" s="204">
        <f t="shared" si="15"/>
        <v>0</v>
      </c>
    </row>
    <row r="46" spans="2:42">
      <c r="B46" s="230" t="str">
        <f>IF(Empleados!C46="","",Empleados!C46)</f>
        <v/>
      </c>
      <c r="C46" s="230" t="str">
        <f>IF(Empleados!E46="","",Empleados!E46)</f>
        <v/>
      </c>
      <c r="D46" s="204">
        <f>Empleados!G46+Empleados!I46+Empleados!K46</f>
        <v>0</v>
      </c>
      <c r="E46" s="204">
        <f t="shared" si="6"/>
        <v>0</v>
      </c>
      <c r="F46" s="231"/>
      <c r="G46" s="204">
        <f t="shared" si="14"/>
        <v>0</v>
      </c>
      <c r="H46" s="232"/>
      <c r="I46" s="204">
        <f t="shared" si="7"/>
        <v>0</v>
      </c>
      <c r="J46" s="232"/>
      <c r="K46" s="204">
        <f t="shared" si="8"/>
        <v>0</v>
      </c>
      <c r="L46" s="205"/>
      <c r="M46" s="204">
        <f t="shared" si="9"/>
        <v>0</v>
      </c>
      <c r="N46" s="205"/>
      <c r="O46" s="204">
        <f t="shared" si="9"/>
        <v>0</v>
      </c>
      <c r="P46" s="205"/>
      <c r="Q46" s="204">
        <f t="shared" si="16"/>
        <v>0</v>
      </c>
      <c r="R46" s="205"/>
      <c r="S46" s="204">
        <f t="shared" si="17"/>
        <v>0</v>
      </c>
      <c r="T46" s="205"/>
      <c r="U46" s="204">
        <f t="shared" si="18"/>
        <v>0</v>
      </c>
      <c r="V46" s="205"/>
      <c r="W46" s="204">
        <f t="shared" si="19"/>
        <v>0</v>
      </c>
      <c r="X46" s="205"/>
      <c r="Y46" s="204">
        <f t="shared" si="20"/>
        <v>0</v>
      </c>
      <c r="Z46" s="207"/>
      <c r="AA46" s="207"/>
      <c r="AB46" s="207"/>
      <c r="AC46" s="207"/>
      <c r="AD46" s="207"/>
      <c r="AE46" s="207"/>
      <c r="AF46" s="234"/>
      <c r="AG46" s="208"/>
      <c r="AH46" s="204">
        <f t="shared" si="10"/>
        <v>0</v>
      </c>
      <c r="AI46" s="234"/>
      <c r="AJ46" s="208"/>
      <c r="AK46" s="204">
        <f t="shared" si="11"/>
        <v>0</v>
      </c>
      <c r="AL46" s="236"/>
      <c r="AM46" s="231"/>
      <c r="AN46" s="207"/>
      <c r="AO46" s="231">
        <f t="shared" si="12"/>
        <v>30</v>
      </c>
      <c r="AP46" s="204">
        <f t="shared" si="15"/>
        <v>0</v>
      </c>
    </row>
    <row r="47" spans="2:42">
      <c r="B47" s="230" t="str">
        <f>IF(Empleados!C47="","",Empleados!C47)</f>
        <v/>
      </c>
      <c r="C47" s="230" t="str">
        <f>IF(Empleados!E47="","",Empleados!E47)</f>
        <v/>
      </c>
      <c r="D47" s="204">
        <f>Empleados!G47+Empleados!I47+Empleados!K47</f>
        <v>0</v>
      </c>
      <c r="E47" s="204">
        <f t="shared" si="6"/>
        <v>0</v>
      </c>
      <c r="F47" s="231"/>
      <c r="G47" s="204">
        <f t="shared" si="14"/>
        <v>0</v>
      </c>
      <c r="H47" s="232"/>
      <c r="I47" s="204">
        <f t="shared" si="7"/>
        <v>0</v>
      </c>
      <c r="J47" s="232"/>
      <c r="K47" s="204">
        <f t="shared" si="8"/>
        <v>0</v>
      </c>
      <c r="L47" s="205"/>
      <c r="M47" s="204">
        <f t="shared" si="9"/>
        <v>0</v>
      </c>
      <c r="N47" s="205"/>
      <c r="O47" s="204">
        <f t="shared" si="9"/>
        <v>0</v>
      </c>
      <c r="P47" s="205"/>
      <c r="Q47" s="204">
        <f t="shared" si="16"/>
        <v>0</v>
      </c>
      <c r="R47" s="205"/>
      <c r="S47" s="204">
        <f t="shared" si="17"/>
        <v>0</v>
      </c>
      <c r="T47" s="205"/>
      <c r="U47" s="204">
        <f t="shared" si="18"/>
        <v>0</v>
      </c>
      <c r="V47" s="205"/>
      <c r="W47" s="204">
        <f t="shared" si="19"/>
        <v>0</v>
      </c>
      <c r="X47" s="205"/>
      <c r="Y47" s="204">
        <f t="shared" si="20"/>
        <v>0</v>
      </c>
      <c r="Z47" s="207"/>
      <c r="AA47" s="207"/>
      <c r="AB47" s="207"/>
      <c r="AC47" s="207"/>
      <c r="AD47" s="207"/>
      <c r="AE47" s="207"/>
      <c r="AF47" s="234"/>
      <c r="AG47" s="208"/>
      <c r="AH47" s="204">
        <f t="shared" si="10"/>
        <v>0</v>
      </c>
      <c r="AI47" s="234"/>
      <c r="AJ47" s="208"/>
      <c r="AK47" s="204">
        <f t="shared" si="11"/>
        <v>0</v>
      </c>
      <c r="AL47" s="236"/>
      <c r="AM47" s="231"/>
      <c r="AN47" s="207"/>
      <c r="AO47" s="231">
        <f t="shared" si="12"/>
        <v>30</v>
      </c>
      <c r="AP47" s="204">
        <f t="shared" si="15"/>
        <v>0</v>
      </c>
    </row>
    <row r="48" spans="2:42">
      <c r="B48" s="230" t="str">
        <f>IF(Empleados!C48="","",Empleados!C48)</f>
        <v/>
      </c>
      <c r="C48" s="230" t="str">
        <f>IF(Empleados!E48="","",Empleados!E48)</f>
        <v/>
      </c>
      <c r="D48" s="204">
        <f>Empleados!G48+Empleados!I48+Empleados!K48</f>
        <v>0</v>
      </c>
      <c r="E48" s="204">
        <f t="shared" si="6"/>
        <v>0</v>
      </c>
      <c r="F48" s="231"/>
      <c r="G48" s="204">
        <f t="shared" si="14"/>
        <v>0</v>
      </c>
      <c r="H48" s="232"/>
      <c r="I48" s="204">
        <f t="shared" si="7"/>
        <v>0</v>
      </c>
      <c r="J48" s="232"/>
      <c r="K48" s="204">
        <f t="shared" si="8"/>
        <v>0</v>
      </c>
      <c r="L48" s="205"/>
      <c r="M48" s="204">
        <f t="shared" si="9"/>
        <v>0</v>
      </c>
      <c r="N48" s="205"/>
      <c r="O48" s="204">
        <f t="shared" si="9"/>
        <v>0</v>
      </c>
      <c r="P48" s="205"/>
      <c r="Q48" s="204">
        <f t="shared" si="16"/>
        <v>0</v>
      </c>
      <c r="R48" s="205"/>
      <c r="S48" s="204">
        <f t="shared" si="17"/>
        <v>0</v>
      </c>
      <c r="T48" s="205"/>
      <c r="U48" s="204">
        <f t="shared" si="18"/>
        <v>0</v>
      </c>
      <c r="V48" s="205"/>
      <c r="W48" s="204">
        <f t="shared" si="19"/>
        <v>0</v>
      </c>
      <c r="X48" s="205"/>
      <c r="Y48" s="204">
        <f t="shared" si="20"/>
        <v>0</v>
      </c>
      <c r="Z48" s="207"/>
      <c r="AA48" s="207"/>
      <c r="AB48" s="207"/>
      <c r="AC48" s="207"/>
      <c r="AD48" s="207"/>
      <c r="AE48" s="207"/>
      <c r="AF48" s="234"/>
      <c r="AG48" s="208"/>
      <c r="AH48" s="204">
        <f t="shared" si="10"/>
        <v>0</v>
      </c>
      <c r="AI48" s="234"/>
      <c r="AJ48" s="208"/>
      <c r="AK48" s="204">
        <f t="shared" si="11"/>
        <v>0</v>
      </c>
      <c r="AL48" s="236"/>
      <c r="AM48" s="231"/>
      <c r="AN48" s="207"/>
      <c r="AO48" s="231">
        <f t="shared" si="12"/>
        <v>30</v>
      </c>
      <c r="AP48" s="204">
        <f t="shared" si="15"/>
        <v>0</v>
      </c>
    </row>
    <row r="49" spans="2:42">
      <c r="B49" s="230" t="str">
        <f>IF(Empleados!C49="","",Empleados!C49)</f>
        <v/>
      </c>
      <c r="C49" s="230" t="str">
        <f>IF(Empleados!E49="","",Empleados!E49)</f>
        <v/>
      </c>
      <c r="D49" s="204">
        <f>Empleados!G49+Empleados!I49+Empleados!K49</f>
        <v>0</v>
      </c>
      <c r="E49" s="204">
        <f t="shared" si="6"/>
        <v>0</v>
      </c>
      <c r="F49" s="231"/>
      <c r="G49" s="204">
        <f t="shared" si="14"/>
        <v>0</v>
      </c>
      <c r="H49" s="232"/>
      <c r="I49" s="204">
        <f t="shared" si="7"/>
        <v>0</v>
      </c>
      <c r="J49" s="232"/>
      <c r="K49" s="204">
        <f t="shared" si="8"/>
        <v>0</v>
      </c>
      <c r="L49" s="205"/>
      <c r="M49" s="204">
        <f t="shared" si="9"/>
        <v>0</v>
      </c>
      <c r="N49" s="205"/>
      <c r="O49" s="204">
        <f t="shared" si="9"/>
        <v>0</v>
      </c>
      <c r="P49" s="205"/>
      <c r="Q49" s="204">
        <f t="shared" si="16"/>
        <v>0</v>
      </c>
      <c r="R49" s="205"/>
      <c r="S49" s="204">
        <f t="shared" si="17"/>
        <v>0</v>
      </c>
      <c r="T49" s="205"/>
      <c r="U49" s="204">
        <f t="shared" si="18"/>
        <v>0</v>
      </c>
      <c r="V49" s="205"/>
      <c r="W49" s="204">
        <f t="shared" si="19"/>
        <v>0</v>
      </c>
      <c r="X49" s="205"/>
      <c r="Y49" s="204">
        <f t="shared" si="20"/>
        <v>0</v>
      </c>
      <c r="Z49" s="207"/>
      <c r="AA49" s="207"/>
      <c r="AB49" s="207"/>
      <c r="AC49" s="207"/>
      <c r="AD49" s="207"/>
      <c r="AE49" s="207"/>
      <c r="AF49" s="234"/>
      <c r="AG49" s="208"/>
      <c r="AH49" s="204">
        <f t="shared" si="10"/>
        <v>0</v>
      </c>
      <c r="AI49" s="234"/>
      <c r="AJ49" s="208"/>
      <c r="AK49" s="204">
        <f t="shared" si="11"/>
        <v>0</v>
      </c>
      <c r="AL49" s="236"/>
      <c r="AM49" s="231"/>
      <c r="AN49" s="207"/>
      <c r="AO49" s="231">
        <f t="shared" si="12"/>
        <v>30</v>
      </c>
      <c r="AP49" s="204">
        <f t="shared" si="15"/>
        <v>0</v>
      </c>
    </row>
    <row r="50" spans="2:42">
      <c r="B50" s="230" t="str">
        <f>IF(Empleados!C50="","",Empleados!C50)</f>
        <v/>
      </c>
      <c r="C50" s="230" t="str">
        <f>IF(Empleados!E50="","",Empleados!E50)</f>
        <v/>
      </c>
      <c r="D50" s="204">
        <f>Empleados!G50+Empleados!I50+Empleados!K50</f>
        <v>0</v>
      </c>
      <c r="E50" s="204">
        <f t="shared" si="6"/>
        <v>0</v>
      </c>
      <c r="F50" s="231"/>
      <c r="G50" s="204">
        <f t="shared" si="14"/>
        <v>0</v>
      </c>
      <c r="H50" s="232"/>
      <c r="I50" s="204">
        <f t="shared" si="7"/>
        <v>0</v>
      </c>
      <c r="J50" s="232"/>
      <c r="K50" s="204">
        <f t="shared" si="8"/>
        <v>0</v>
      </c>
      <c r="L50" s="205"/>
      <c r="M50" s="204">
        <f t="shared" si="9"/>
        <v>0</v>
      </c>
      <c r="N50" s="205"/>
      <c r="O50" s="204">
        <f t="shared" si="9"/>
        <v>0</v>
      </c>
      <c r="P50" s="205"/>
      <c r="Q50" s="204">
        <f t="shared" si="16"/>
        <v>0</v>
      </c>
      <c r="R50" s="205"/>
      <c r="S50" s="204">
        <f t="shared" si="17"/>
        <v>0</v>
      </c>
      <c r="T50" s="205"/>
      <c r="U50" s="204">
        <f t="shared" si="18"/>
        <v>0</v>
      </c>
      <c r="V50" s="205"/>
      <c r="W50" s="204">
        <f t="shared" si="19"/>
        <v>0</v>
      </c>
      <c r="X50" s="205"/>
      <c r="Y50" s="204">
        <f t="shared" si="20"/>
        <v>0</v>
      </c>
      <c r="Z50" s="207"/>
      <c r="AA50" s="207"/>
      <c r="AB50" s="207"/>
      <c r="AC50" s="207"/>
      <c r="AD50" s="207"/>
      <c r="AE50" s="207"/>
      <c r="AF50" s="234"/>
      <c r="AG50" s="208"/>
      <c r="AH50" s="204">
        <f t="shared" si="10"/>
        <v>0</v>
      </c>
      <c r="AI50" s="234"/>
      <c r="AJ50" s="208"/>
      <c r="AK50" s="204">
        <f t="shared" si="11"/>
        <v>0</v>
      </c>
      <c r="AL50" s="236"/>
      <c r="AM50" s="231"/>
      <c r="AN50" s="207"/>
      <c r="AO50" s="231">
        <f t="shared" si="12"/>
        <v>30</v>
      </c>
      <c r="AP50" s="204">
        <f t="shared" si="15"/>
        <v>0</v>
      </c>
    </row>
    <row r="51" spans="2:42">
      <c r="B51" s="230" t="str">
        <f>IF(Empleados!C51="","",Empleados!C51)</f>
        <v/>
      </c>
      <c r="C51" s="230" t="str">
        <f>IF(Empleados!E51="","",Empleados!E51)</f>
        <v/>
      </c>
      <c r="D51" s="204">
        <f>Empleados!G51+Empleados!I51+Empleados!K51</f>
        <v>0</v>
      </c>
      <c r="E51" s="204">
        <f t="shared" si="6"/>
        <v>0</v>
      </c>
      <c r="F51" s="231"/>
      <c r="G51" s="204">
        <f t="shared" si="14"/>
        <v>0</v>
      </c>
      <c r="H51" s="232"/>
      <c r="I51" s="204">
        <f t="shared" si="7"/>
        <v>0</v>
      </c>
      <c r="J51" s="232"/>
      <c r="K51" s="204">
        <f t="shared" si="8"/>
        <v>0</v>
      </c>
      <c r="L51" s="205"/>
      <c r="M51" s="204">
        <f t="shared" si="9"/>
        <v>0</v>
      </c>
      <c r="N51" s="205"/>
      <c r="O51" s="204">
        <f t="shared" si="9"/>
        <v>0</v>
      </c>
      <c r="P51" s="205"/>
      <c r="Q51" s="204">
        <f t="shared" si="16"/>
        <v>0</v>
      </c>
      <c r="R51" s="205"/>
      <c r="S51" s="204">
        <f t="shared" si="17"/>
        <v>0</v>
      </c>
      <c r="T51" s="205"/>
      <c r="U51" s="204">
        <f t="shared" si="18"/>
        <v>0</v>
      </c>
      <c r="V51" s="205"/>
      <c r="W51" s="204">
        <f t="shared" si="19"/>
        <v>0</v>
      </c>
      <c r="X51" s="205"/>
      <c r="Y51" s="204">
        <f t="shared" si="20"/>
        <v>0</v>
      </c>
      <c r="Z51" s="207"/>
      <c r="AA51" s="207"/>
      <c r="AB51" s="207"/>
      <c r="AC51" s="207"/>
      <c r="AD51" s="207"/>
      <c r="AE51" s="207"/>
      <c r="AF51" s="234"/>
      <c r="AG51" s="208"/>
      <c r="AH51" s="204">
        <f t="shared" si="10"/>
        <v>0</v>
      </c>
      <c r="AI51" s="234"/>
      <c r="AJ51" s="208"/>
      <c r="AK51" s="204">
        <f t="shared" si="11"/>
        <v>0</v>
      </c>
      <c r="AL51" s="236"/>
      <c r="AM51" s="231"/>
      <c r="AN51" s="207"/>
      <c r="AO51" s="231">
        <f t="shared" si="12"/>
        <v>30</v>
      </c>
      <c r="AP51" s="204">
        <f t="shared" si="15"/>
        <v>0</v>
      </c>
    </row>
    <row r="52" spans="2:42">
      <c r="B52" s="230" t="str">
        <f>IF(Empleados!C52="","",Empleados!C52)</f>
        <v/>
      </c>
      <c r="C52" s="230" t="str">
        <f>IF(Empleados!E52="","",Empleados!E52)</f>
        <v/>
      </c>
      <c r="D52" s="204">
        <f>Empleados!G52+Empleados!I52+Empleados!K52</f>
        <v>0</v>
      </c>
      <c r="E52" s="204">
        <f t="shared" si="6"/>
        <v>0</v>
      </c>
      <c r="F52" s="231"/>
      <c r="G52" s="204">
        <f t="shared" si="14"/>
        <v>0</v>
      </c>
      <c r="H52" s="232"/>
      <c r="I52" s="204">
        <f t="shared" si="7"/>
        <v>0</v>
      </c>
      <c r="J52" s="232"/>
      <c r="K52" s="204">
        <f t="shared" si="8"/>
        <v>0</v>
      </c>
      <c r="L52" s="205"/>
      <c r="M52" s="204">
        <f t="shared" si="9"/>
        <v>0</v>
      </c>
      <c r="N52" s="205"/>
      <c r="O52" s="204">
        <f t="shared" si="9"/>
        <v>0</v>
      </c>
      <c r="P52" s="205"/>
      <c r="Q52" s="204">
        <f t="shared" si="16"/>
        <v>0</v>
      </c>
      <c r="R52" s="205"/>
      <c r="S52" s="204">
        <f t="shared" si="17"/>
        <v>0</v>
      </c>
      <c r="T52" s="205"/>
      <c r="U52" s="204">
        <f t="shared" si="18"/>
        <v>0</v>
      </c>
      <c r="V52" s="205"/>
      <c r="W52" s="204">
        <f t="shared" si="19"/>
        <v>0</v>
      </c>
      <c r="X52" s="205"/>
      <c r="Y52" s="204">
        <f t="shared" si="20"/>
        <v>0</v>
      </c>
      <c r="Z52" s="207"/>
      <c r="AA52" s="207"/>
      <c r="AB52" s="207"/>
      <c r="AC52" s="207"/>
      <c r="AD52" s="207"/>
      <c r="AE52" s="207"/>
      <c r="AF52" s="234"/>
      <c r="AG52" s="208"/>
      <c r="AH52" s="204">
        <f t="shared" si="10"/>
        <v>0</v>
      </c>
      <c r="AI52" s="234"/>
      <c r="AJ52" s="208"/>
      <c r="AK52" s="204">
        <f t="shared" si="11"/>
        <v>0</v>
      </c>
      <c r="AL52" s="236"/>
      <c r="AM52" s="231"/>
      <c r="AN52" s="207"/>
      <c r="AO52" s="231">
        <f t="shared" si="12"/>
        <v>30</v>
      </c>
      <c r="AP52" s="204">
        <f t="shared" si="15"/>
        <v>0</v>
      </c>
    </row>
    <row r="53" spans="2:42">
      <c r="B53" s="230" t="str">
        <f>IF(Empleados!C53="","",Empleados!C53)</f>
        <v/>
      </c>
      <c r="C53" s="230" t="str">
        <f>IF(Empleados!E53="","",Empleados!E53)</f>
        <v/>
      </c>
      <c r="D53" s="204">
        <f>Empleados!G53+Empleados!I53+Empleados!K53</f>
        <v>0</v>
      </c>
      <c r="E53" s="204">
        <f t="shared" si="6"/>
        <v>0</v>
      </c>
      <c r="F53" s="231"/>
      <c r="G53" s="204">
        <f t="shared" si="14"/>
        <v>0</v>
      </c>
      <c r="H53" s="232"/>
      <c r="I53" s="204">
        <f t="shared" si="7"/>
        <v>0</v>
      </c>
      <c r="J53" s="232"/>
      <c r="K53" s="204">
        <f t="shared" si="8"/>
        <v>0</v>
      </c>
      <c r="L53" s="205"/>
      <c r="M53" s="204">
        <f t="shared" si="9"/>
        <v>0</v>
      </c>
      <c r="N53" s="205"/>
      <c r="O53" s="204">
        <f t="shared" si="9"/>
        <v>0</v>
      </c>
      <c r="P53" s="205"/>
      <c r="Q53" s="204">
        <f t="shared" si="16"/>
        <v>0</v>
      </c>
      <c r="R53" s="205"/>
      <c r="S53" s="204">
        <f t="shared" si="17"/>
        <v>0</v>
      </c>
      <c r="T53" s="205"/>
      <c r="U53" s="204">
        <f t="shared" si="18"/>
        <v>0</v>
      </c>
      <c r="V53" s="205"/>
      <c r="W53" s="204">
        <f t="shared" si="19"/>
        <v>0</v>
      </c>
      <c r="X53" s="205"/>
      <c r="Y53" s="204">
        <f t="shared" si="20"/>
        <v>0</v>
      </c>
      <c r="Z53" s="207"/>
      <c r="AA53" s="207"/>
      <c r="AB53" s="207"/>
      <c r="AC53" s="207"/>
      <c r="AD53" s="207"/>
      <c r="AE53" s="207"/>
      <c r="AF53" s="234"/>
      <c r="AG53" s="208"/>
      <c r="AH53" s="204">
        <f t="shared" si="10"/>
        <v>0</v>
      </c>
      <c r="AI53" s="234"/>
      <c r="AJ53" s="208"/>
      <c r="AK53" s="204">
        <f t="shared" si="11"/>
        <v>0</v>
      </c>
      <c r="AL53" s="236"/>
      <c r="AM53" s="231"/>
      <c r="AN53" s="207"/>
      <c r="AO53" s="231">
        <f t="shared" si="12"/>
        <v>30</v>
      </c>
      <c r="AP53" s="204">
        <f t="shared" si="15"/>
        <v>0</v>
      </c>
    </row>
    <row r="54" spans="2:42">
      <c r="B54" s="230" t="str">
        <f>IF(Empleados!C54="","",Empleados!C54)</f>
        <v/>
      </c>
      <c r="C54" s="230" t="str">
        <f>IF(Empleados!E54="","",Empleados!E54)</f>
        <v/>
      </c>
      <c r="D54" s="204">
        <f>Empleados!G54+Empleados!I54+Empleados!K54</f>
        <v>0</v>
      </c>
      <c r="E54" s="204">
        <f t="shared" si="6"/>
        <v>0</v>
      </c>
      <c r="F54" s="231"/>
      <c r="G54" s="204">
        <f t="shared" si="14"/>
        <v>0</v>
      </c>
      <c r="H54" s="232"/>
      <c r="I54" s="204">
        <f t="shared" si="7"/>
        <v>0</v>
      </c>
      <c r="J54" s="232"/>
      <c r="K54" s="204">
        <f t="shared" si="8"/>
        <v>0</v>
      </c>
      <c r="L54" s="205"/>
      <c r="M54" s="204">
        <f t="shared" si="9"/>
        <v>0</v>
      </c>
      <c r="N54" s="205"/>
      <c r="O54" s="204">
        <f t="shared" si="9"/>
        <v>0</v>
      </c>
      <c r="P54" s="205"/>
      <c r="Q54" s="204">
        <f t="shared" si="16"/>
        <v>0</v>
      </c>
      <c r="R54" s="205"/>
      <c r="S54" s="204">
        <f t="shared" si="17"/>
        <v>0</v>
      </c>
      <c r="T54" s="205"/>
      <c r="U54" s="204">
        <f t="shared" si="18"/>
        <v>0</v>
      </c>
      <c r="V54" s="205"/>
      <c r="W54" s="204">
        <f t="shared" si="19"/>
        <v>0</v>
      </c>
      <c r="X54" s="205"/>
      <c r="Y54" s="204">
        <f t="shared" si="20"/>
        <v>0</v>
      </c>
      <c r="Z54" s="207"/>
      <c r="AA54" s="207"/>
      <c r="AB54" s="207"/>
      <c r="AC54" s="207"/>
      <c r="AD54" s="207"/>
      <c r="AE54" s="207"/>
      <c r="AF54" s="234"/>
      <c r="AG54" s="208"/>
      <c r="AH54" s="204">
        <f t="shared" si="10"/>
        <v>0</v>
      </c>
      <c r="AI54" s="234"/>
      <c r="AJ54" s="208"/>
      <c r="AK54" s="204">
        <f t="shared" si="11"/>
        <v>0</v>
      </c>
      <c r="AL54" s="236"/>
      <c r="AM54" s="231"/>
      <c r="AN54" s="207"/>
      <c r="AO54" s="231">
        <f t="shared" si="12"/>
        <v>30</v>
      </c>
      <c r="AP54" s="204">
        <f t="shared" si="15"/>
        <v>0</v>
      </c>
    </row>
    <row r="55" spans="2:42">
      <c r="B55" s="230" t="str">
        <f>IF(Empleados!C55="","",Empleados!C55)</f>
        <v/>
      </c>
      <c r="C55" s="230" t="str">
        <f>IF(Empleados!E55="","",Empleados!E55)</f>
        <v/>
      </c>
      <c r="D55" s="204">
        <f>Empleados!G55+Empleados!I55+Empleados!K55</f>
        <v>0</v>
      </c>
      <c r="E55" s="204">
        <f t="shared" si="6"/>
        <v>0</v>
      </c>
      <c r="F55" s="231"/>
      <c r="G55" s="204">
        <f t="shared" si="14"/>
        <v>0</v>
      </c>
      <c r="H55" s="232"/>
      <c r="I55" s="204">
        <f t="shared" si="7"/>
        <v>0</v>
      </c>
      <c r="J55" s="232"/>
      <c r="K55" s="204">
        <f t="shared" si="8"/>
        <v>0</v>
      </c>
      <c r="L55" s="205"/>
      <c r="M55" s="204">
        <f t="shared" si="9"/>
        <v>0</v>
      </c>
      <c r="N55" s="205"/>
      <c r="O55" s="204">
        <f t="shared" si="9"/>
        <v>0</v>
      </c>
      <c r="P55" s="205"/>
      <c r="Q55" s="204">
        <f t="shared" si="16"/>
        <v>0</v>
      </c>
      <c r="R55" s="205"/>
      <c r="S55" s="204">
        <f t="shared" si="17"/>
        <v>0</v>
      </c>
      <c r="T55" s="205"/>
      <c r="U55" s="204">
        <f t="shared" si="18"/>
        <v>0</v>
      </c>
      <c r="V55" s="205"/>
      <c r="W55" s="204">
        <f t="shared" si="19"/>
        <v>0</v>
      </c>
      <c r="X55" s="205"/>
      <c r="Y55" s="204">
        <f t="shared" si="20"/>
        <v>0</v>
      </c>
      <c r="Z55" s="207"/>
      <c r="AA55" s="207"/>
      <c r="AB55" s="207"/>
      <c r="AC55" s="207"/>
      <c r="AD55" s="207"/>
      <c r="AE55" s="207"/>
      <c r="AF55" s="234"/>
      <c r="AG55" s="208"/>
      <c r="AH55" s="204">
        <f t="shared" si="10"/>
        <v>0</v>
      </c>
      <c r="AI55" s="234"/>
      <c r="AJ55" s="208"/>
      <c r="AK55" s="204">
        <f t="shared" si="11"/>
        <v>0</v>
      </c>
      <c r="AL55" s="236"/>
      <c r="AM55" s="231"/>
      <c r="AN55" s="207"/>
      <c r="AO55" s="231">
        <f t="shared" si="12"/>
        <v>30</v>
      </c>
      <c r="AP55" s="204">
        <f t="shared" si="15"/>
        <v>0</v>
      </c>
    </row>
    <row r="56" spans="2:42">
      <c r="B56" s="230" t="str">
        <f>IF(Empleados!C56="","",Empleados!C56)</f>
        <v/>
      </c>
      <c r="C56" s="230" t="str">
        <f>IF(Empleados!E56="","",Empleados!E56)</f>
        <v/>
      </c>
      <c r="D56" s="204">
        <f>Empleados!G56+Empleados!I56+Empleados!K56</f>
        <v>0</v>
      </c>
      <c r="E56" s="204">
        <f t="shared" si="6"/>
        <v>0</v>
      </c>
      <c r="F56" s="231"/>
      <c r="G56" s="204">
        <f t="shared" si="14"/>
        <v>0</v>
      </c>
      <c r="H56" s="232"/>
      <c r="I56" s="204">
        <f t="shared" si="7"/>
        <v>0</v>
      </c>
      <c r="J56" s="232"/>
      <c r="K56" s="204">
        <f t="shared" si="8"/>
        <v>0</v>
      </c>
      <c r="L56" s="205"/>
      <c r="M56" s="204">
        <f t="shared" si="9"/>
        <v>0</v>
      </c>
      <c r="N56" s="205"/>
      <c r="O56" s="204">
        <f t="shared" si="9"/>
        <v>0</v>
      </c>
      <c r="P56" s="205"/>
      <c r="Q56" s="204">
        <f t="shared" si="16"/>
        <v>0</v>
      </c>
      <c r="R56" s="205"/>
      <c r="S56" s="204">
        <f t="shared" si="17"/>
        <v>0</v>
      </c>
      <c r="T56" s="205"/>
      <c r="U56" s="204">
        <f t="shared" si="18"/>
        <v>0</v>
      </c>
      <c r="V56" s="205"/>
      <c r="W56" s="204">
        <f t="shared" si="19"/>
        <v>0</v>
      </c>
      <c r="X56" s="205"/>
      <c r="Y56" s="204">
        <f t="shared" si="20"/>
        <v>0</v>
      </c>
      <c r="Z56" s="207"/>
      <c r="AA56" s="207"/>
      <c r="AB56" s="207"/>
      <c r="AC56" s="207"/>
      <c r="AD56" s="207"/>
      <c r="AE56" s="207"/>
      <c r="AF56" s="234"/>
      <c r="AG56" s="208"/>
      <c r="AH56" s="204">
        <f t="shared" si="10"/>
        <v>0</v>
      </c>
      <c r="AI56" s="234"/>
      <c r="AJ56" s="208"/>
      <c r="AK56" s="204">
        <f t="shared" si="11"/>
        <v>0</v>
      </c>
      <c r="AL56" s="236"/>
      <c r="AM56" s="231"/>
      <c r="AN56" s="207"/>
      <c r="AO56" s="231">
        <f t="shared" si="12"/>
        <v>30</v>
      </c>
      <c r="AP56" s="204">
        <f t="shared" si="15"/>
        <v>0</v>
      </c>
    </row>
    <row r="57" ht="29.25" customHeight="1" spans="2:42">
      <c r="B57" s="230"/>
      <c r="C57" s="230"/>
      <c r="D57" s="204"/>
      <c r="E57" s="204"/>
      <c r="F57" s="231"/>
      <c r="G57" s="204"/>
      <c r="H57" s="232"/>
      <c r="I57" s="204"/>
      <c r="J57" s="232"/>
      <c r="K57" s="204"/>
      <c r="L57" s="205"/>
      <c r="M57" s="204"/>
      <c r="N57" s="205"/>
      <c r="O57" s="204"/>
      <c r="P57" s="205"/>
      <c r="Q57" s="204"/>
      <c r="R57" s="205"/>
      <c r="S57" s="204"/>
      <c r="T57" s="205"/>
      <c r="U57" s="204"/>
      <c r="V57" s="205"/>
      <c r="W57" s="204"/>
      <c r="X57" s="205"/>
      <c r="Y57" s="204"/>
      <c r="Z57" s="207"/>
      <c r="AA57" s="207"/>
      <c r="AB57" s="207"/>
      <c r="AC57" s="207"/>
      <c r="AD57" s="207"/>
      <c r="AE57" s="207"/>
      <c r="AF57" s="234"/>
      <c r="AG57" s="208"/>
      <c r="AH57" s="204"/>
      <c r="AI57" s="234"/>
      <c r="AJ57" s="208"/>
      <c r="AK57" s="204"/>
      <c r="AL57" s="236"/>
      <c r="AM57" s="231"/>
      <c r="AN57" s="207"/>
      <c r="AO57" s="231"/>
      <c r="AP57" s="204" t="e">
        <f>SUM(AP8:AP25)</f>
        <v>#VALUE!</v>
      </c>
    </row>
    <row r="58" ht="22.5" customHeight="1" spans="2:42">
      <c r="B58" s="230" t="str">
        <f>IF(Empleados!C57="","",Empleados!C57)</f>
        <v/>
      </c>
      <c r="C58" s="230" t="str">
        <f>IF(Empleados!E57="","",Empleados!E57)</f>
        <v/>
      </c>
      <c r="D58" s="204">
        <f>Empleados!G57+Empleados!I57+Empleados!K57</f>
        <v>0</v>
      </c>
      <c r="E58" s="204">
        <f t="shared" si="6"/>
        <v>0</v>
      </c>
      <c r="F58" s="231"/>
      <c r="G58" s="204">
        <f t="shared" si="14"/>
        <v>0</v>
      </c>
      <c r="H58" s="232"/>
      <c r="I58" s="204">
        <f t="shared" si="7"/>
        <v>0</v>
      </c>
      <c r="J58" s="232"/>
      <c r="K58" s="204">
        <f t="shared" si="8"/>
        <v>0</v>
      </c>
      <c r="L58" s="205"/>
      <c r="M58" s="204">
        <f t="shared" si="9"/>
        <v>0</v>
      </c>
      <c r="N58" s="205"/>
      <c r="O58" s="204">
        <f t="shared" si="9"/>
        <v>0</v>
      </c>
      <c r="P58" s="205"/>
      <c r="Q58" s="204">
        <f t="shared" si="16"/>
        <v>0</v>
      </c>
      <c r="R58" s="205"/>
      <c r="S58" s="204">
        <f t="shared" si="17"/>
        <v>0</v>
      </c>
      <c r="T58" s="205"/>
      <c r="U58" s="204">
        <f t="shared" si="18"/>
        <v>0</v>
      </c>
      <c r="V58" s="205"/>
      <c r="W58" s="204">
        <f t="shared" si="19"/>
        <v>0</v>
      </c>
      <c r="X58" s="205"/>
      <c r="Y58" s="204">
        <f t="shared" si="20"/>
        <v>0</v>
      </c>
      <c r="Z58" s="207"/>
      <c r="AA58" s="207"/>
      <c r="AB58" s="207"/>
      <c r="AC58" s="207"/>
      <c r="AD58" s="207"/>
      <c r="AE58" s="207"/>
      <c r="AF58" s="234"/>
      <c r="AG58" s="208"/>
      <c r="AH58" s="204">
        <f t="shared" si="10"/>
        <v>0</v>
      </c>
      <c r="AI58" s="234"/>
      <c r="AJ58" s="208"/>
      <c r="AK58" s="204">
        <f t="shared" si="11"/>
        <v>0</v>
      </c>
      <c r="AL58" s="236"/>
      <c r="AM58" s="231"/>
      <c r="AN58" s="207"/>
      <c r="AO58" s="231">
        <f t="shared" si="12"/>
        <v>30</v>
      </c>
      <c r="AP58" s="204">
        <f t="shared" si="15"/>
        <v>0</v>
      </c>
    </row>
    <row r="59" spans="2:42">
      <c r="D59" s="210"/>
      <c r="E59" s="210"/>
      <c r="F59" s="210"/>
      <c r="G59" s="210"/>
      <c r="H59" s="210"/>
      <c r="I59" s="210"/>
      <c r="J59" s="210"/>
      <c r="K59" s="210"/>
      <c r="M59" s="210"/>
      <c r="O59" s="210"/>
      <c r="Q59" s="210"/>
      <c r="S59" s="210"/>
      <c r="U59" s="210"/>
      <c r="W59" s="210"/>
      <c r="Y59" s="210"/>
      <c r="Z59" s="210"/>
      <c r="AA59" s="210"/>
      <c r="AB59" s="210"/>
      <c r="AC59" s="210"/>
      <c r="AD59" s="210"/>
      <c r="AE59" s="210"/>
    </row>
    <row r="60" spans="2:42">
      <c r="D60" s="210"/>
      <c r="E60" s="210"/>
      <c r="F60" s="210"/>
      <c r="G60" s="210"/>
      <c r="H60" s="210"/>
      <c r="I60" s="210"/>
      <c r="J60" s="210"/>
      <c r="K60" s="210"/>
      <c r="M60" s="210"/>
      <c r="O60" s="210"/>
      <c r="Q60" s="210"/>
      <c r="S60" s="210"/>
      <c r="U60" s="210"/>
      <c r="W60" s="210"/>
      <c r="Y60" s="210"/>
      <c r="Z60" s="210"/>
      <c r="AA60" s="210"/>
      <c r="AB60" s="210"/>
      <c r="AC60" s="210"/>
      <c r="AD60" s="210"/>
      <c r="AE60" s="210"/>
    </row>
  </sheetData>
  <autoFilter xmlns:etc="http://www.wps.cn/officeDocument/2017/etCustomData" ref="B7:AP58" etc:filterBottomFollowUsedRange="0">
    <extLst/>
  </autoFilter>
  <mergeCells count="14">
    <mergeCell ref="B2:P2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AF6:AH6"/>
    <mergeCell ref="AI6:AK6"/>
    <mergeCell ref="AL6:AN6"/>
  </mergeCells>
  <conditionalFormatting sqref="Y8:Y58;D8:E58;AL8:AL18;U8:U58;I8:I58;W8:W58;M8:M58;O8:O58;Q8:Q58;S8:S58;AH8:AH58;AK8:AK58;K8:K58;G8:G58;AN8:AN58;AP8:AP58">
    <cfRule type="expression" dxfId="0" priority="1" stopIfTrue="1">
      <formula>D8=0</formula>
    </cfRule>
  </conditionalFormatting>
  <dataValidations count="3">
    <dataValidation type="list" showInputMessage="1" showErrorMessage="1" sqref="C4">
      <formula1>ListaMeses</formula1>
    </dataValidation>
    <dataValidation showInputMessage="1" showErrorMessage="1" errorTitle="Número de Legajo Erroneo" error="El número de legajo que desea ingresar es inexistente. Consulte la hoja &quot;Datos Empleados&quot;." sqref="B8:B58"/>
    <dataValidation type="list" allowBlank="1" showInputMessage="1" showErrorMessage="1" sqref="F8:F58 H8:H58 J8:J58 AM8:AM58">
      <formula1>ListaDias</formula1>
    </dataValidation>
  </dataValidations>
  <pageMargins left="0.75" right="0.75" top="1" bottom="1" header="0.5" footer="0.5"/>
  <pageSetup paperSize="9" scale="71" fitToWidth="2" fitToHeight="2" orientation="landscape" horizontalDpi="300" verticalDpi="300"/>
  <headerFooter alignWithMargins="0"/>
  <rowBreaks count="1" manualBreakCount="1">
    <brk id="57" max="27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4"/>
  <dimension ref="A1:AQ59"/>
  <sheetViews>
    <sheetView showGridLines="0" zoomScale="71" zoomScaleNormal="71" zoomScaleSheetLayoutView="40" workbookViewId="0">
      <pane xSplit="3" ySplit="6" topLeftCell="R7" activePane="bottomRight" state="frozenSplit"/>
      <selection/>
      <selection pane="topRight"/>
      <selection pane="bottomLeft"/>
      <selection pane="bottomRight" activeCell="AG14" sqref="AG14"/>
    </sheetView>
  </sheetViews>
  <sheetFormatPr defaultColWidth="9.14285714285714" defaultRowHeight="10.5"/>
  <cols>
    <col min="1" max="1" width="1.71428571428571" style="174" customWidth="1"/>
    <col min="2" max="2" width="6.42857142857143" style="196" customWidth="1"/>
    <col min="3" max="3" width="16.2857142857143" style="196" customWidth="1"/>
    <col min="4" max="4" width="7.28571428571429" style="182"/>
    <col min="5" max="5" width="9.28571428571429" style="174"/>
    <col min="6" max="6" width="7.28571428571429" style="182"/>
    <col min="7" max="7" width="9.28571428571429" style="174"/>
    <col min="8" max="8" width="7" style="182"/>
    <col min="9" max="9" width="9.28571428571429" style="174"/>
    <col min="10" max="10" width="7" style="182"/>
    <col min="11" max="11" width="9.28571428571429" style="174"/>
    <col min="12" max="12" width="7.85714285714286" style="182"/>
    <col min="13" max="13" width="9.28571428571429" style="174"/>
    <col min="14" max="14" width="7.85714285714286" style="182" customWidth="1"/>
    <col min="15" max="15" width="9.28571428571429" style="174" customWidth="1"/>
    <col min="16" max="16" width="10.1428571428571" style="182" customWidth="1"/>
    <col min="17" max="17" width="11.1428571428571" style="174" customWidth="1"/>
    <col min="18" max="18" width="8.57142857142857" style="182" customWidth="1"/>
    <col min="19" max="19" width="8.57142857142857" style="174" customWidth="1"/>
    <col min="20" max="20" width="8.57142857142857" style="182" customWidth="1"/>
    <col min="21" max="21" width="8.57142857142857" style="174" customWidth="1"/>
    <col min="22" max="22" width="7.85714285714286" style="182" customWidth="1"/>
    <col min="23" max="23" width="8.57142857142857" style="174" customWidth="1"/>
    <col min="24" max="24" width="7.85714285714286" style="182" customWidth="1"/>
    <col min="25" max="25" width="9.42857142857143" style="174" customWidth="1"/>
    <col min="26" max="26" width="11" style="174" customWidth="1"/>
    <col min="27" max="27" width="11.7142857142857" style="174" customWidth="1"/>
    <col min="28" max="28" width="10.5714285714286" style="174" customWidth="1"/>
    <col min="29" max="29" width="11.7142857142857" style="174"/>
    <col min="30" max="31" width="9.28571428571429" style="174"/>
    <col min="32" max="32" width="9.28571428571429" style="174" customWidth="1"/>
    <col min="33" max="34" width="8" style="174" customWidth="1"/>
    <col min="35" max="36" width="7.85714285714286" style="174" customWidth="1"/>
    <col min="37" max="37" width="8" style="174" customWidth="1"/>
    <col min="38" max="38" width="10.8571428571429" style="174"/>
    <col min="39" max="39" width="11" style="173" customWidth="1"/>
    <col min="40" max="40" width="10.8571428571429" style="173" hidden="1" customWidth="1"/>
    <col min="41" max="41" width="11.8571428571429" style="174"/>
    <col min="42" max="16384" width="9.14285714285714" style="174"/>
  </cols>
  <sheetData>
    <row r="1" s="23" customFormat="1" ht="6" customHeight="1" spans="1:43">
      <c r="D1" s="24"/>
      <c r="F1" s="24"/>
      <c r="H1" s="24"/>
      <c r="J1" s="24"/>
      <c r="L1" s="24"/>
      <c r="N1" s="24"/>
      <c r="P1" s="24"/>
      <c r="R1" s="24"/>
      <c r="T1" s="24"/>
      <c r="V1" s="24"/>
      <c r="X1" s="24"/>
      <c r="AM1" s="25"/>
      <c r="AN1" s="25"/>
    </row>
    <row r="2" s="169" customFormat="1" ht="21.75" customHeight="1" spans="1:43">
      <c r="D2" s="175"/>
      <c r="E2" s="176" t="s">
        <v>220</v>
      </c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M2" s="177"/>
      <c r="AN2" s="177"/>
    </row>
    <row r="3" s="170" customFormat="1" ht="13.5" customHeight="1" spans="1:43">
      <c r="A3" s="178"/>
      <c r="B3" s="179"/>
      <c r="C3" s="178"/>
      <c r="D3" s="180"/>
      <c r="E3" s="178"/>
      <c r="F3" s="180"/>
      <c r="G3" s="178"/>
      <c r="H3" s="180"/>
      <c r="I3" s="178"/>
      <c r="J3" s="180"/>
      <c r="K3" s="178"/>
      <c r="L3" s="180"/>
      <c r="M3" s="178"/>
      <c r="N3" s="180"/>
      <c r="O3" s="178"/>
      <c r="P3" s="180"/>
      <c r="Q3" s="178"/>
      <c r="R3" s="180"/>
      <c r="S3" s="178"/>
      <c r="T3" s="180"/>
      <c r="U3" s="178"/>
      <c r="V3" s="180"/>
      <c r="W3" s="178"/>
      <c r="X3" s="180"/>
      <c r="Y3" s="178"/>
      <c r="Z3" s="178"/>
      <c r="AA3" s="178"/>
      <c r="AB3" s="178"/>
      <c r="AC3" s="179"/>
      <c r="AD3" s="178"/>
      <c r="AE3" s="179"/>
      <c r="AF3" s="178"/>
      <c r="AG3" s="179"/>
      <c r="AH3" s="178"/>
      <c r="AI3" s="179"/>
      <c r="AJ3" s="178"/>
      <c r="AK3" s="179"/>
      <c r="AL3" s="178"/>
      <c r="AM3" s="179"/>
      <c r="AN3" s="181"/>
      <c r="AO3" s="179"/>
      <c r="AP3" s="178"/>
      <c r="AQ3" s="179"/>
    </row>
    <row r="4" spans="1:43">
      <c r="B4" s="174"/>
      <c r="C4" s="174"/>
      <c r="D4" s="174"/>
      <c r="F4" s="174"/>
      <c r="H4" s="174"/>
      <c r="J4" s="174"/>
      <c r="L4" s="174"/>
      <c r="N4" s="174"/>
      <c r="P4" s="174"/>
      <c r="R4" s="174"/>
      <c r="T4" s="174"/>
      <c r="V4" s="174"/>
      <c r="X4" s="174"/>
      <c r="AM4" s="174"/>
      <c r="AN4" s="174"/>
    </row>
    <row r="5" ht="12.75" customHeight="1" spans="1:43">
      <c r="B5" s="183"/>
      <c r="C5" s="183"/>
      <c r="D5" s="184" t="s">
        <v>221</v>
      </c>
      <c r="E5" s="185"/>
      <c r="F5" s="184" t="s">
        <v>222</v>
      </c>
      <c r="G5" s="185"/>
      <c r="H5" s="184" t="s">
        <v>223</v>
      </c>
      <c r="I5" s="185"/>
      <c r="J5" s="184" t="s">
        <v>224</v>
      </c>
      <c r="K5" s="185"/>
      <c r="L5" s="184" t="s">
        <v>225</v>
      </c>
      <c r="M5" s="185"/>
      <c r="N5" s="184" t="s">
        <v>226</v>
      </c>
      <c r="O5" s="185"/>
      <c r="P5" s="184" t="s">
        <v>227</v>
      </c>
      <c r="Q5" s="185"/>
      <c r="R5" s="184" t="s">
        <v>228</v>
      </c>
      <c r="S5" s="185"/>
      <c r="T5" s="184" t="s">
        <v>229</v>
      </c>
      <c r="U5" s="185"/>
      <c r="V5" s="184" t="s">
        <v>230</v>
      </c>
      <c r="W5" s="185"/>
      <c r="X5" s="184" t="s">
        <v>231</v>
      </c>
      <c r="Y5" s="185"/>
      <c r="Z5" s="197"/>
      <c r="AA5" s="197"/>
      <c r="AB5" s="197"/>
      <c r="AD5" s="198" t="s">
        <v>232</v>
      </c>
      <c r="AE5" s="198"/>
      <c r="AF5" s="198"/>
      <c r="AG5" s="198"/>
      <c r="AH5" s="198"/>
      <c r="AI5" s="198"/>
      <c r="AJ5" s="198"/>
      <c r="AK5" s="198"/>
      <c r="AL5" s="199"/>
      <c r="AM5" s="197"/>
    </row>
    <row r="6" ht="52.5" spans="1:43">
      <c r="B6" s="186" t="s">
        <v>233</v>
      </c>
      <c r="C6" s="186" t="s">
        <v>234</v>
      </c>
      <c r="D6" s="186" t="s">
        <v>235</v>
      </c>
      <c r="E6" s="186" t="s">
        <v>204</v>
      </c>
      <c r="F6" s="186" t="s">
        <v>235</v>
      </c>
      <c r="G6" s="186" t="s">
        <v>204</v>
      </c>
      <c r="H6" s="186" t="s">
        <v>235</v>
      </c>
      <c r="I6" s="186" t="s">
        <v>204</v>
      </c>
      <c r="J6" s="186" t="s">
        <v>235</v>
      </c>
      <c r="K6" s="186" t="s">
        <v>204</v>
      </c>
      <c r="L6" s="186" t="s">
        <v>235</v>
      </c>
      <c r="M6" s="186" t="s">
        <v>204</v>
      </c>
      <c r="N6" s="186" t="s">
        <v>235</v>
      </c>
      <c r="O6" s="186" t="s">
        <v>204</v>
      </c>
      <c r="P6" s="186" t="s">
        <v>235</v>
      </c>
      <c r="Q6" s="186" t="s">
        <v>204</v>
      </c>
      <c r="R6" s="186" t="s">
        <v>82</v>
      </c>
      <c r="S6" s="186" t="s">
        <v>204</v>
      </c>
      <c r="T6" s="186" t="s">
        <v>235</v>
      </c>
      <c r="U6" s="186" t="s">
        <v>204</v>
      </c>
      <c r="V6" s="186" t="s">
        <v>235</v>
      </c>
      <c r="W6" s="186" t="s">
        <v>204</v>
      </c>
      <c r="X6" s="186" t="s">
        <v>235</v>
      </c>
      <c r="Y6" s="186" t="s">
        <v>204</v>
      </c>
      <c r="Z6" s="200" t="s">
        <v>236</v>
      </c>
      <c r="AA6" s="200" t="s">
        <v>237</v>
      </c>
      <c r="AB6" s="200" t="s">
        <v>238</v>
      </c>
      <c r="AC6" s="186" t="s">
        <v>239</v>
      </c>
      <c r="AD6" s="201" t="s">
        <v>240</v>
      </c>
      <c r="AE6" s="201" t="s">
        <v>241</v>
      </c>
      <c r="AF6" s="186" t="s">
        <v>208</v>
      </c>
      <c r="AG6" s="186" t="s">
        <v>208</v>
      </c>
      <c r="AH6" s="186" t="s">
        <v>242</v>
      </c>
      <c r="AI6" s="186" t="s">
        <v>243</v>
      </c>
      <c r="AJ6" s="201" t="s">
        <v>244</v>
      </c>
      <c r="AK6" s="186" t="s">
        <v>245</v>
      </c>
      <c r="AL6" s="186" t="s">
        <v>246</v>
      </c>
      <c r="AM6" s="186" t="s">
        <v>247</v>
      </c>
      <c r="AN6" s="186" t="s">
        <v>248</v>
      </c>
      <c r="AO6" s="186" t="s">
        <v>249</v>
      </c>
    </row>
    <row r="7" spans="1:43">
      <c r="B7" s="202">
        <f>+Remuneración!B8</f>
        <v>1</v>
      </c>
      <c r="C7" s="202" t="str">
        <f>+Remuneración!C8</f>
        <v>ARANIBAR CLAUDIA CRISTINA</v>
      </c>
      <c r="D7" s="203">
        <v>0.11</v>
      </c>
      <c r="E7" s="204" t="str">
        <f>IF(D7="",0,IF(ISERROR(D7*Remuneración!$AP8),"",D7*Remuneración!$AP8))</f>
        <v/>
      </c>
      <c r="F7" s="203">
        <v>0.03</v>
      </c>
      <c r="G7" s="204" t="str">
        <f>IF(F7="",0,IF(ISERROR(F7*Remuneración!$AP8),"",F7*Remuneración!$AP8))</f>
        <v/>
      </c>
      <c r="H7" s="203">
        <v>0.03</v>
      </c>
      <c r="I7" s="204" t="str">
        <f>IF(H7="",0,IF(ISERROR(H7*Remuneración!$AP8),"",H7*Remuneración!$AP8))</f>
        <v/>
      </c>
      <c r="J7" s="203"/>
      <c r="K7" s="204">
        <f>IF(J7="",0,IF(ISERROR(J7*Remuneración!$AP8),"",J7*Remuneración!$AP8))</f>
        <v>0</v>
      </c>
      <c r="L7" s="203"/>
      <c r="M7" s="204">
        <f>IF(L7="",0,IF(ISERROR(L7*Remuneración!$AP8),"",L7*Remuneración!$AP8))</f>
        <v>0</v>
      </c>
      <c r="N7" s="205">
        <v>0.03</v>
      </c>
      <c r="O7" s="204">
        <f>IF(N7="",0,IF(ISERROR(N7*($AE7+$AD7+$AF7+$AJ7)),"",N7*($AE7+$AD7+$AF7+$AJ7)))</f>
        <v>0</v>
      </c>
      <c r="P7" s="205"/>
      <c r="Q7" s="204">
        <f>IF(P7="",0,IF(ISERROR(P7*($AE7+$AD7+$AF7+$AJ7)),"",P7*($AE7+$AD7+$AF7+$AJ7)))</f>
        <v>0</v>
      </c>
      <c r="R7" s="203">
        <v>0.005</v>
      </c>
      <c r="S7" s="204" t="str">
        <f>IF(R7="",0,IF(ISERROR(R7*Remuneración!$AP8),"",R7*Remuneración!$AP8))</f>
        <v/>
      </c>
      <c r="T7" s="203"/>
      <c r="U7" s="204">
        <f>IF(T7="",0,IF(ISERROR(T7*($AE7+$AD7+$AF7+$AJ7)),"",T7*($AE7+$AD7+$AF7+$AJ7)))</f>
        <v>0</v>
      </c>
      <c r="V7" s="203"/>
      <c r="W7" s="204">
        <f>IF(V7="",0,IF(ISERROR(V7*Remuneración!$AP8),"",V7*Remuneración!$AP8))</f>
        <v>0</v>
      </c>
      <c r="X7" s="203"/>
      <c r="Y7" s="204">
        <f>IF(X7="",0,IF(ISERROR(X7*Remuneración!$AP8),"",X7*Remuneración!$AP8))</f>
        <v>0</v>
      </c>
      <c r="Z7" s="191"/>
      <c r="AA7" s="191"/>
      <c r="AB7" s="191">
        <v>0</v>
      </c>
      <c r="AC7" s="206" t="e">
        <f>+E7+G7+I7+K7+M7+O7+Q7+W7+Y7+S7+U7+SUM(Z7:AB7)</f>
        <v>#VALUE!</v>
      </c>
      <c r="AD7" s="207"/>
      <c r="AE7" s="207"/>
      <c r="AF7" s="208">
        <f>+(AD7+AJ7)*0.0833</f>
        <v>0</v>
      </c>
      <c r="AG7" s="207"/>
      <c r="AH7" s="208"/>
      <c r="AI7" s="208">
        <f>AH7/12</f>
        <v>0</v>
      </c>
      <c r="AJ7" s="208"/>
      <c r="AK7" s="208"/>
      <c r="AL7" s="204" t="e">
        <f>ROUNDUP(AN7,0)-AN7</f>
        <v>#VALUE!</v>
      </c>
      <c r="AM7" s="204">
        <f>IF(SUM(AD7:AK7)=0,0,SUM(AD7:AK7))</f>
        <v>0</v>
      </c>
      <c r="AN7" s="204" t="e">
        <f>+AM7-AC7+Remuneración!AP8</f>
        <v>#VALUE!</v>
      </c>
      <c r="AO7" s="204" t="e">
        <f>+AN7+AL7</f>
        <v>#VALUE!</v>
      </c>
    </row>
    <row r="8" spans="1:43">
      <c r="B8" s="202">
        <v>2</v>
      </c>
      <c r="C8" s="202" t="str">
        <f>+Remuneración!C9</f>
        <v>QUIROGA VANINA LEONELA</v>
      </c>
      <c r="D8" s="203">
        <v>0.11</v>
      </c>
      <c r="E8" s="204">
        <f>IF(D8="",0,IF(ISERROR(D8*Remuneración!$AP9),"",D8*Remuneración!$AP9))</f>
        <v>243.51197376</v>
      </c>
      <c r="F8" s="203">
        <v>0.03</v>
      </c>
      <c r="G8" s="204">
        <f>IF(F8="",0,IF(ISERROR(F8*Remuneración!$AP9),"",F8*Remuneración!$AP9))</f>
        <v>66.41235648</v>
      </c>
      <c r="H8" s="203">
        <v>0.03</v>
      </c>
      <c r="I8" s="204">
        <f>IF(H8="",0,IF(ISERROR(H8*Remuneración!$AP9),"",H8*Remuneración!$AP9))</f>
        <v>66.41235648</v>
      </c>
      <c r="J8" s="203"/>
      <c r="K8" s="204">
        <f>IF(J8="",0,IF(ISERROR(J8*Remuneración!$AP9),"",J8*Remuneración!$AP9))</f>
        <v>0</v>
      </c>
      <c r="L8" s="203"/>
      <c r="M8" s="204">
        <f>IF(L8="",0,IF(ISERROR(L8*Remuneración!$AP9),"",L8*Remuneración!$AP9))</f>
        <v>0</v>
      </c>
      <c r="N8" s="203"/>
      <c r="O8" s="204">
        <f>IF(N8="",0,IF(ISERROR(N8*($AE8+$AD8+$AF8+$AJ8)),"",N8*($AE8+$AD8+$AF8+$AJ8)))</f>
        <v>0</v>
      </c>
      <c r="P8" s="203"/>
      <c r="Q8" s="204">
        <f t="shared" ref="Q8:Q39" si="0">IF(P8="",0,IF(ISERROR(P8*$AE8),"",P8*$AE8))</f>
        <v>0</v>
      </c>
      <c r="R8" s="203"/>
      <c r="S8" s="204">
        <f>IF(R8="",0,IF(ISERROR(R8*Remuneración!$AP9),"",R8*Remuneración!$AP9))</f>
        <v>0</v>
      </c>
      <c r="T8" s="203"/>
      <c r="U8" s="204">
        <f>IF(T8="",0,IF(ISERROR(T8*Remuneración!$AP9),"",T8*Remuneración!$AP9))</f>
        <v>0</v>
      </c>
      <c r="V8" s="203"/>
      <c r="W8" s="204">
        <f>IF(V8="",0,IF(ISERROR(V8*Remuneración!$AP9),"",V8*Remuneración!$AP9))</f>
        <v>0</v>
      </c>
      <c r="X8" s="203"/>
      <c r="Y8" s="204">
        <f>IF(X8="",0,IF(ISERROR(X8*Remuneración!$AP9),"",X8*Remuneración!$AP9))</f>
        <v>0</v>
      </c>
      <c r="Z8" s="191"/>
      <c r="AA8" s="191"/>
      <c r="AB8" s="191"/>
      <c r="AC8" s="206">
        <f t="shared" ref="AC8:AC56" si="1">+E8+G8+I8+K8+M8+O8+Q8+W8+Y8+S8+U8+SUM(Z8:AB8)</f>
        <v>376.33668672</v>
      </c>
      <c r="AD8" s="208"/>
      <c r="AE8" s="208"/>
      <c r="AF8" s="208"/>
      <c r="AG8" s="208"/>
      <c r="AH8" s="208"/>
      <c r="AI8" s="208"/>
      <c r="AJ8" s="208"/>
      <c r="AK8" s="208"/>
      <c r="AL8" s="204">
        <f t="shared" ref="AL8:AL56" si="2">ROUNDUP(AN8,0)-AN8</f>
        <v>0.591470720000189</v>
      </c>
      <c r="AM8" s="204">
        <f t="shared" ref="AM8:AM56" si="3">IF(SUM(AD8:AK8)=0,0,SUM(AD8:AK8))</f>
        <v>0</v>
      </c>
      <c r="AN8" s="204">
        <f>+AM8-AC8+Remuneración!AP9</f>
        <v>1837.40852928</v>
      </c>
      <c r="AO8" s="204">
        <f t="shared" ref="AO8:AO56" si="4">+AN8+AL8</f>
        <v>1838</v>
      </c>
    </row>
    <row r="9" spans="1:43">
      <c r="B9" s="202"/>
      <c r="C9" s="202" t="str">
        <f>+Remuneración!C10</f>
        <v/>
      </c>
      <c r="D9" s="203"/>
      <c r="E9" s="204">
        <f>IF(D9="",0,IF(ISERROR(D9*Remuneración!$AP10),"",D9*Remuneración!$AP10))</f>
        <v>0</v>
      </c>
      <c r="F9" s="203"/>
      <c r="G9" s="204">
        <f>IF(F9="",0,IF(ISERROR(F9*Remuneración!$AP10),"",F9*Remuneración!$AP10))</f>
        <v>0</v>
      </c>
      <c r="H9" s="203"/>
      <c r="I9" s="204">
        <f>IF(H9="",0,IF(ISERROR(H9*Remuneración!$AP10),"",H9*Remuneración!$AP10))</f>
        <v>0</v>
      </c>
      <c r="J9" s="203"/>
      <c r="K9" s="204">
        <f>IF(J9="",0,IF(ISERROR(J9*Remuneración!$AP10),"",J9*Remuneración!$AP10))</f>
        <v>0</v>
      </c>
      <c r="L9" s="203"/>
      <c r="M9" s="204">
        <f>IF(L9="",0,IF(ISERROR(L9*Remuneración!$AP10),"",L9*Remuneración!$AP10))</f>
        <v>0</v>
      </c>
      <c r="N9" s="203"/>
      <c r="O9" s="204">
        <f t="shared" ref="O9:O39" si="5">IF(N9="",0,IF(ISERROR(N9*$AE9),"",N9*$AE9))</f>
        <v>0</v>
      </c>
      <c r="P9" s="203"/>
      <c r="Q9" s="204">
        <f t="shared" si="0"/>
        <v>0</v>
      </c>
      <c r="R9" s="203"/>
      <c r="S9" s="204">
        <f>IF(R9="",0,IF(ISERROR(R9*Remuneración!$AP10),"",R9*Remuneración!$AP10))</f>
        <v>0</v>
      </c>
      <c r="T9" s="203"/>
      <c r="U9" s="204">
        <f>IF(T9="",0,IF(ISERROR(T9*Remuneración!$AP10),"",T9*Remuneración!$AP10))</f>
        <v>0</v>
      </c>
      <c r="V9" s="203"/>
      <c r="W9" s="204">
        <f>IF(V9="",0,IF(ISERROR(V9*Remuneración!$AP10),"",V9*Remuneración!$AP10))</f>
        <v>0</v>
      </c>
      <c r="X9" s="203"/>
      <c r="Y9" s="204">
        <f>IF(X9="",0,IF(ISERROR(X9*Remuneración!$AP10),"",X9*Remuneración!$AP10))</f>
        <v>0</v>
      </c>
      <c r="Z9" s="191"/>
      <c r="AA9" s="191"/>
      <c r="AB9" s="191"/>
      <c r="AC9" s="206">
        <f t="shared" si="1"/>
        <v>0</v>
      </c>
      <c r="AD9" s="208"/>
      <c r="AE9" s="208"/>
      <c r="AF9" s="208"/>
      <c r="AG9" s="208"/>
      <c r="AH9" s="208"/>
      <c r="AI9" s="208"/>
      <c r="AJ9" s="208"/>
      <c r="AK9" s="208"/>
      <c r="AL9" s="204">
        <f t="shared" si="2"/>
        <v>0</v>
      </c>
      <c r="AM9" s="204">
        <f t="shared" si="3"/>
        <v>0</v>
      </c>
      <c r="AN9" s="204">
        <f>+AM9-AC9+Remuneración!AP10</f>
        <v>0</v>
      </c>
      <c r="AO9" s="204">
        <f t="shared" si="4"/>
        <v>0</v>
      </c>
    </row>
    <row r="10" spans="1:43">
      <c r="B10" s="202"/>
      <c r="C10" s="202" t="str">
        <f>+Remuneración!C11</f>
        <v/>
      </c>
      <c r="D10" s="203"/>
      <c r="E10" s="204">
        <f>IF(D10="",0,IF(ISERROR(D10*Remuneración!$AP11),"",D10*Remuneración!$AP11))</f>
        <v>0</v>
      </c>
      <c r="F10" s="203"/>
      <c r="G10" s="204">
        <f>IF(F10="",0,IF(ISERROR(F10*Remuneración!$AP11),"",F10*Remuneración!$AP11))</f>
        <v>0</v>
      </c>
      <c r="H10" s="203"/>
      <c r="I10" s="204">
        <f>IF(H10="",0,IF(ISERROR(H10*Remuneración!$AP11),"",H10*Remuneración!$AP11))</f>
        <v>0</v>
      </c>
      <c r="J10" s="203"/>
      <c r="K10" s="204">
        <f>IF(J10="",0,IF(ISERROR(J10*Remuneración!$AP11),"",J10*Remuneración!$AP11))</f>
        <v>0</v>
      </c>
      <c r="L10" s="203"/>
      <c r="M10" s="204">
        <f>IF(L10="",0,IF(ISERROR(L10*Remuneración!$AP11),"",L10*Remuneración!$AP11))</f>
        <v>0</v>
      </c>
      <c r="N10" s="203"/>
      <c r="O10" s="204">
        <f t="shared" si="5"/>
        <v>0</v>
      </c>
      <c r="P10" s="203"/>
      <c r="Q10" s="204">
        <f t="shared" si="0"/>
        <v>0</v>
      </c>
      <c r="R10" s="203"/>
      <c r="S10" s="204">
        <f>IF(R10="",0,IF(ISERROR(R10*Remuneración!$AP11),"",R10*Remuneración!$AP11))</f>
        <v>0</v>
      </c>
      <c r="T10" s="203"/>
      <c r="U10" s="204">
        <f>IF(T10="",0,IF(ISERROR(T10*Remuneración!$AP11),"",T10*Remuneración!$AP11))</f>
        <v>0</v>
      </c>
      <c r="V10" s="203"/>
      <c r="W10" s="204">
        <f>IF(V10="",0,IF(ISERROR(V10*Remuneración!$AP11),"",V10*Remuneración!$AP11))</f>
        <v>0</v>
      </c>
      <c r="X10" s="203"/>
      <c r="Y10" s="204">
        <f>IF(X10="",0,IF(ISERROR(X10*Remuneración!$AP11),"",X10*Remuneración!$AP11))</f>
        <v>0</v>
      </c>
      <c r="Z10" s="191"/>
      <c r="AA10" s="191"/>
      <c r="AB10" s="191"/>
      <c r="AC10" s="206">
        <f t="shared" si="1"/>
        <v>0</v>
      </c>
      <c r="AD10" s="208"/>
      <c r="AE10" s="208"/>
      <c r="AF10" s="208"/>
      <c r="AG10" s="208"/>
      <c r="AH10" s="208"/>
      <c r="AI10" s="208"/>
      <c r="AJ10" s="208"/>
      <c r="AK10" s="208"/>
      <c r="AL10" s="204">
        <f t="shared" si="2"/>
        <v>0</v>
      </c>
      <c r="AM10" s="204">
        <f t="shared" si="3"/>
        <v>0</v>
      </c>
      <c r="AN10" s="204">
        <f>+AM10-AC10+Remuneración!AP11</f>
        <v>0</v>
      </c>
      <c r="AO10" s="204">
        <f t="shared" si="4"/>
        <v>0</v>
      </c>
    </row>
    <row r="11" spans="1:43">
      <c r="B11" s="202"/>
      <c r="C11" s="202" t="str">
        <f>+Remuneración!C12</f>
        <v/>
      </c>
      <c r="D11" s="203"/>
      <c r="E11" s="204">
        <f>IF(D11="",0,IF(ISERROR(D11*Remuneración!$AP12),"",D11*Remuneración!$AP12))</f>
        <v>0</v>
      </c>
      <c r="F11" s="203"/>
      <c r="G11" s="204">
        <f>IF(F11="",0,IF(ISERROR(F11*Remuneración!$AP12),"",F11*Remuneración!$AP12))</f>
        <v>0</v>
      </c>
      <c r="H11" s="203"/>
      <c r="I11" s="204">
        <f>IF(H11="",0,IF(ISERROR(H11*Remuneración!$AP12),"",H11*Remuneración!$AP12))</f>
        <v>0</v>
      </c>
      <c r="J11" s="203"/>
      <c r="K11" s="204">
        <f>IF(J11="",0,IF(ISERROR(J11*Remuneración!$AP12),"",J11*Remuneración!$AP12))</f>
        <v>0</v>
      </c>
      <c r="L11" s="203"/>
      <c r="M11" s="204">
        <f>IF(L11="",0,IF(ISERROR(L11*Remuneración!$AP12),"",L11*Remuneración!$AP12))</f>
        <v>0</v>
      </c>
      <c r="N11" s="203"/>
      <c r="O11" s="204">
        <f t="shared" si="5"/>
        <v>0</v>
      </c>
      <c r="P11" s="203"/>
      <c r="Q11" s="204">
        <f t="shared" si="0"/>
        <v>0</v>
      </c>
      <c r="R11" s="203"/>
      <c r="S11" s="204">
        <f>IF(R11="",0,IF(ISERROR(R11*Remuneración!$AP12),"",R11*Remuneración!$AP12))</f>
        <v>0</v>
      </c>
      <c r="T11" s="203"/>
      <c r="U11" s="204">
        <f>IF(T11="",0,IF(ISERROR(T11*Remuneración!$AP12),"",T11*Remuneración!$AP12))</f>
        <v>0</v>
      </c>
      <c r="V11" s="203"/>
      <c r="W11" s="204">
        <f>IF(V11="",0,IF(ISERROR(V11*Remuneración!$AP12),"",V11*Remuneración!$AP12))</f>
        <v>0</v>
      </c>
      <c r="X11" s="203"/>
      <c r="Y11" s="204">
        <f>IF(X11="",0,IF(ISERROR(X11*Remuneración!$AP12),"",X11*Remuneración!$AP12))</f>
        <v>0</v>
      </c>
      <c r="Z11" s="191"/>
      <c r="AA11" s="191"/>
      <c r="AB11" s="191"/>
      <c r="AC11" s="206">
        <f t="shared" si="1"/>
        <v>0</v>
      </c>
      <c r="AD11" s="208"/>
      <c r="AE11" s="208"/>
      <c r="AF11" s="208"/>
      <c r="AG11" s="208"/>
      <c r="AH11" s="208"/>
      <c r="AI11" s="208"/>
      <c r="AJ11" s="208"/>
      <c r="AK11" s="208"/>
      <c r="AL11" s="204">
        <f t="shared" si="2"/>
        <v>0</v>
      </c>
      <c r="AM11" s="204">
        <f t="shared" si="3"/>
        <v>0</v>
      </c>
      <c r="AN11" s="204">
        <f>+AM11-AC11+Remuneración!AP12</f>
        <v>0</v>
      </c>
      <c r="AO11" s="204">
        <f t="shared" si="4"/>
        <v>0</v>
      </c>
    </row>
    <row r="12" spans="1:43">
      <c r="B12" s="202"/>
      <c r="C12" s="202" t="str">
        <f>+Remuneración!C13</f>
        <v/>
      </c>
      <c r="D12" s="203"/>
      <c r="E12" s="204">
        <f>IF(D12="",0,IF(ISERROR(D12*Remuneración!$AP13),"",D12*Remuneración!$AP13))</f>
        <v>0</v>
      </c>
      <c r="F12" s="203"/>
      <c r="G12" s="204">
        <f>IF(F12="",0,IF(ISERROR(F12*Remuneración!$AP13),"",F12*Remuneración!$AP13))</f>
        <v>0</v>
      </c>
      <c r="H12" s="203"/>
      <c r="I12" s="204">
        <f>IF(H12="",0,IF(ISERROR(H12*Remuneración!$AP13),"",H12*Remuneración!$AP13))</f>
        <v>0</v>
      </c>
      <c r="J12" s="203"/>
      <c r="K12" s="204">
        <f>IF(J12="",0,IF(ISERROR(J12*Remuneración!$AP13),"",J12*Remuneración!$AP13))</f>
        <v>0</v>
      </c>
      <c r="L12" s="203"/>
      <c r="M12" s="204">
        <f>IF(L12="",0,IF(ISERROR(L12*Remuneración!$AP13),"",L12*Remuneración!$AP13))</f>
        <v>0</v>
      </c>
      <c r="N12" s="203"/>
      <c r="O12" s="204">
        <f t="shared" si="5"/>
        <v>0</v>
      </c>
      <c r="P12" s="203"/>
      <c r="Q12" s="204">
        <f t="shared" si="0"/>
        <v>0</v>
      </c>
      <c r="R12" s="203"/>
      <c r="S12" s="204">
        <f>IF(R12="",0,IF(ISERROR(R12*Remuneración!$AP13),"",R12*Remuneración!$AP13))</f>
        <v>0</v>
      </c>
      <c r="T12" s="203"/>
      <c r="U12" s="204">
        <f>IF(T12="",0,IF(ISERROR(T12*Remuneración!$AP13),"",T12*Remuneración!$AP13))</f>
        <v>0</v>
      </c>
      <c r="V12" s="203"/>
      <c r="W12" s="204">
        <f>IF(V12="",0,IF(ISERROR(V12*Remuneración!$AP13),"",V12*Remuneración!$AP13))</f>
        <v>0</v>
      </c>
      <c r="X12" s="203"/>
      <c r="Y12" s="204">
        <f>IF(X12="",0,IF(ISERROR(X12*Remuneración!$AP13),"",X12*Remuneración!$AP13))</f>
        <v>0</v>
      </c>
      <c r="Z12" s="191"/>
      <c r="AA12" s="191"/>
      <c r="AB12" s="191"/>
      <c r="AC12" s="206">
        <f t="shared" si="1"/>
        <v>0</v>
      </c>
      <c r="AD12" s="208"/>
      <c r="AE12" s="208"/>
      <c r="AF12" s="208"/>
      <c r="AG12" s="208"/>
      <c r="AH12" s="208"/>
      <c r="AI12" s="208"/>
      <c r="AJ12" s="208"/>
      <c r="AK12" s="208"/>
      <c r="AL12" s="204">
        <f t="shared" si="2"/>
        <v>0</v>
      </c>
      <c r="AM12" s="204">
        <f t="shared" si="3"/>
        <v>0</v>
      </c>
      <c r="AN12" s="204">
        <f>+AM12-AC12+Remuneración!AP13</f>
        <v>0</v>
      </c>
      <c r="AO12" s="204">
        <f t="shared" si="4"/>
        <v>0</v>
      </c>
    </row>
    <row r="13" spans="1:43">
      <c r="B13" s="202"/>
      <c r="C13" s="202" t="str">
        <f>+Remuneración!C14</f>
        <v/>
      </c>
      <c r="D13" s="203"/>
      <c r="E13" s="204">
        <f>IF(D13="",0,IF(ISERROR(D13*Remuneración!$AP14),"",D13*Remuneración!$AP14))</f>
        <v>0</v>
      </c>
      <c r="F13" s="203"/>
      <c r="G13" s="204">
        <f>IF(F13="",0,IF(ISERROR(F13*Remuneración!$AP14),"",F13*Remuneración!$AP14))</f>
        <v>0</v>
      </c>
      <c r="H13" s="203"/>
      <c r="I13" s="204">
        <f>IF(H13="",0,IF(ISERROR(H13*Remuneración!$AP14),"",H13*Remuneración!$AP14))</f>
        <v>0</v>
      </c>
      <c r="J13" s="203"/>
      <c r="K13" s="204">
        <f>IF(J13="",0,IF(ISERROR(J13*Remuneración!$AP14),"",J13*Remuneración!$AP14))</f>
        <v>0</v>
      </c>
      <c r="L13" s="203"/>
      <c r="M13" s="204">
        <f>IF(L13="",0,IF(ISERROR(L13*Remuneración!$AP14),"",L13*Remuneración!$AP14))</f>
        <v>0</v>
      </c>
      <c r="N13" s="203"/>
      <c r="O13" s="204">
        <f t="shared" si="5"/>
        <v>0</v>
      </c>
      <c r="P13" s="203"/>
      <c r="Q13" s="204">
        <f t="shared" si="0"/>
        <v>0</v>
      </c>
      <c r="R13" s="203"/>
      <c r="S13" s="204">
        <f>IF(R13="",0,IF(ISERROR(R13*Remuneración!$AP14),"",R13*Remuneración!$AP14))</f>
        <v>0</v>
      </c>
      <c r="T13" s="203"/>
      <c r="U13" s="204">
        <f>IF(T13="",0,IF(ISERROR(T13*Remuneración!$AP14),"",T13*Remuneración!$AP14))</f>
        <v>0</v>
      </c>
      <c r="V13" s="203"/>
      <c r="W13" s="204">
        <f>IF(V13="",0,IF(ISERROR(V13*Remuneración!$AP14),"",V13*Remuneración!$AP14))</f>
        <v>0</v>
      </c>
      <c r="X13" s="203"/>
      <c r="Y13" s="204">
        <f>IF(X13="",0,IF(ISERROR(X13*Remuneración!$AP14),"",X13*Remuneración!$AP14))</f>
        <v>0</v>
      </c>
      <c r="Z13" s="191"/>
      <c r="AA13" s="191"/>
      <c r="AB13" s="191"/>
      <c r="AC13" s="206">
        <f t="shared" si="1"/>
        <v>0</v>
      </c>
      <c r="AD13" s="208"/>
      <c r="AE13" s="208"/>
      <c r="AF13" s="208"/>
      <c r="AG13" s="208"/>
      <c r="AH13" s="208"/>
      <c r="AI13" s="208"/>
      <c r="AJ13" s="208"/>
      <c r="AK13" s="208"/>
      <c r="AL13" s="204">
        <f t="shared" si="2"/>
        <v>0</v>
      </c>
      <c r="AM13" s="204">
        <f t="shared" si="3"/>
        <v>0</v>
      </c>
      <c r="AN13" s="204">
        <f>+AM13-AC13+Remuneración!AP14</f>
        <v>0</v>
      </c>
      <c r="AO13" s="204">
        <f t="shared" si="4"/>
        <v>0</v>
      </c>
    </row>
    <row r="14" spans="1:43">
      <c r="B14" s="202"/>
      <c r="C14" s="202" t="str">
        <f>+Remuneración!C15</f>
        <v/>
      </c>
      <c r="D14" s="203"/>
      <c r="E14" s="204">
        <f>IF(D14="",0,IF(ISERROR(D14*Remuneración!$AP15),"",D14*Remuneración!$AP15))</f>
        <v>0</v>
      </c>
      <c r="F14" s="203"/>
      <c r="G14" s="204">
        <f>IF(F14="",0,IF(ISERROR(F14*Remuneración!$AP15),"",F14*Remuneración!$AP15))</f>
        <v>0</v>
      </c>
      <c r="H14" s="203"/>
      <c r="I14" s="204">
        <f>IF(H14="",0,IF(ISERROR(H14*Remuneración!$AP15),"",H14*Remuneración!$AP15))</f>
        <v>0</v>
      </c>
      <c r="J14" s="203"/>
      <c r="K14" s="204">
        <f>IF(J14="",0,IF(ISERROR(J14*Remuneración!$AP15),"",J14*Remuneración!$AP15))</f>
        <v>0</v>
      </c>
      <c r="L14" s="203"/>
      <c r="M14" s="204">
        <f>IF(L14="",0,IF(ISERROR(L14*Remuneración!$AP15),"",L14*Remuneración!$AP15))</f>
        <v>0</v>
      </c>
      <c r="N14" s="203"/>
      <c r="O14" s="204">
        <f t="shared" si="5"/>
        <v>0</v>
      </c>
      <c r="P14" s="203"/>
      <c r="Q14" s="204">
        <f t="shared" si="0"/>
        <v>0</v>
      </c>
      <c r="R14" s="203"/>
      <c r="S14" s="204">
        <f>IF(R14="",0,IF(ISERROR(R14*Remuneración!$AP15),"",R14*Remuneración!$AP15))</f>
        <v>0</v>
      </c>
      <c r="T14" s="203"/>
      <c r="U14" s="204">
        <f>IF(T14="",0,IF(ISERROR(T14*Remuneración!$AP15),"",T14*Remuneración!$AP15))</f>
        <v>0</v>
      </c>
      <c r="V14" s="203"/>
      <c r="W14" s="204">
        <f>IF(V14="",0,IF(ISERROR(V14*Remuneración!$AP15),"",V14*Remuneración!$AP15))</f>
        <v>0</v>
      </c>
      <c r="X14" s="203"/>
      <c r="Y14" s="204">
        <f>IF(X14="",0,IF(ISERROR(X14*Remuneración!$AP15),"",X14*Remuneración!$AP15))</f>
        <v>0</v>
      </c>
      <c r="Z14" s="191"/>
      <c r="AA14" s="191"/>
      <c r="AB14" s="191"/>
      <c r="AC14" s="206">
        <f t="shared" si="1"/>
        <v>0</v>
      </c>
      <c r="AD14" s="208"/>
      <c r="AE14" s="208"/>
      <c r="AF14" s="208"/>
      <c r="AG14" s="208"/>
      <c r="AH14" s="208"/>
      <c r="AI14" s="208"/>
      <c r="AJ14" s="208"/>
      <c r="AK14" s="208"/>
      <c r="AL14" s="204">
        <f t="shared" si="2"/>
        <v>0</v>
      </c>
      <c r="AM14" s="204">
        <f t="shared" si="3"/>
        <v>0</v>
      </c>
      <c r="AN14" s="204">
        <f>+AM14-AC14+Remuneración!AP15</f>
        <v>0</v>
      </c>
      <c r="AO14" s="204">
        <f t="shared" si="4"/>
        <v>0</v>
      </c>
    </row>
    <row r="15" spans="1:43">
      <c r="B15" s="202"/>
      <c r="C15" s="202" t="str">
        <f>+Remuneración!C16</f>
        <v/>
      </c>
      <c r="D15" s="203"/>
      <c r="E15" s="204">
        <f>IF(D15="",0,IF(ISERROR(D15*Remuneración!$AP16),"",D15*Remuneración!$AP16))</f>
        <v>0</v>
      </c>
      <c r="F15" s="203"/>
      <c r="G15" s="204">
        <f>IF(F15="",0,IF(ISERROR(F15*Remuneración!$AP16),"",F15*Remuneración!$AP16))</f>
        <v>0</v>
      </c>
      <c r="H15" s="203"/>
      <c r="I15" s="204">
        <f>IF(H15="",0,IF(ISERROR(H15*Remuneración!$AP16),"",H15*Remuneración!$AP16))</f>
        <v>0</v>
      </c>
      <c r="J15" s="203"/>
      <c r="K15" s="204">
        <f>IF(J15="",0,IF(ISERROR(J15*Remuneración!$AP16),"",J15*Remuneración!$AP16))</f>
        <v>0</v>
      </c>
      <c r="L15" s="203"/>
      <c r="M15" s="204">
        <f>IF(L15="",0,IF(ISERROR(L15*Remuneración!$AP16),"",L15*Remuneración!$AP16))</f>
        <v>0</v>
      </c>
      <c r="N15" s="203"/>
      <c r="O15" s="204">
        <f t="shared" si="5"/>
        <v>0</v>
      </c>
      <c r="P15" s="203"/>
      <c r="Q15" s="204">
        <f t="shared" si="0"/>
        <v>0</v>
      </c>
      <c r="R15" s="203"/>
      <c r="S15" s="204">
        <f>IF(R15="",0,IF(ISERROR(R15*Remuneración!$AP16),"",R15*Remuneración!$AP16))</f>
        <v>0</v>
      </c>
      <c r="T15" s="203"/>
      <c r="U15" s="204">
        <f>IF(T15="",0,IF(ISERROR(T15*Remuneración!$AP16),"",T15*Remuneración!$AP16))</f>
        <v>0</v>
      </c>
      <c r="V15" s="203"/>
      <c r="W15" s="204">
        <f>IF(V15="",0,IF(ISERROR(V15*Remuneración!$AP16),"",V15*Remuneración!$AP16))</f>
        <v>0</v>
      </c>
      <c r="X15" s="203"/>
      <c r="Y15" s="204">
        <f>IF(X15="",0,IF(ISERROR(X15*Remuneración!$AP16),"",X15*Remuneración!$AP16))</f>
        <v>0</v>
      </c>
      <c r="Z15" s="191"/>
      <c r="AA15" s="191"/>
      <c r="AB15" s="191"/>
      <c r="AC15" s="206">
        <f t="shared" si="1"/>
        <v>0</v>
      </c>
      <c r="AD15" s="208"/>
      <c r="AE15" s="208"/>
      <c r="AF15" s="208"/>
      <c r="AG15" s="208"/>
      <c r="AH15" s="208"/>
      <c r="AI15" s="208"/>
      <c r="AJ15" s="208"/>
      <c r="AK15" s="208"/>
      <c r="AL15" s="204">
        <f t="shared" si="2"/>
        <v>0</v>
      </c>
      <c r="AM15" s="204">
        <f t="shared" si="3"/>
        <v>0</v>
      </c>
      <c r="AN15" s="204">
        <f>+AM15-AC15+Remuneración!AP16</f>
        <v>0</v>
      </c>
      <c r="AO15" s="204">
        <f t="shared" si="4"/>
        <v>0</v>
      </c>
    </row>
    <row r="16" spans="1:43">
      <c r="B16" s="202"/>
      <c r="C16" s="202" t="str">
        <f>+Remuneración!C17</f>
        <v/>
      </c>
      <c r="D16" s="203"/>
      <c r="E16" s="204">
        <f>IF(D16="",0,IF(ISERROR(D16*Remuneración!$AP17),"",D16*Remuneración!$AP17))</f>
        <v>0</v>
      </c>
      <c r="F16" s="203"/>
      <c r="G16" s="204">
        <f>IF(F16="",0,IF(ISERROR(F16*Remuneración!$AP17),"",F16*Remuneración!$AP17))</f>
        <v>0</v>
      </c>
      <c r="H16" s="203"/>
      <c r="I16" s="204">
        <f>IF(H16="",0,IF(ISERROR(H16*Remuneración!$AP17),"",H16*Remuneración!$AP17))</f>
        <v>0</v>
      </c>
      <c r="J16" s="203"/>
      <c r="K16" s="204">
        <f>IF(J16="",0,IF(ISERROR(J16*Remuneración!$AP17),"",J16*Remuneración!$AP17))</f>
        <v>0</v>
      </c>
      <c r="L16" s="203"/>
      <c r="M16" s="204">
        <f>IF(L16="",0,IF(ISERROR(L16*Remuneración!$AP17),"",L16*Remuneración!$AP17))</f>
        <v>0</v>
      </c>
      <c r="N16" s="203"/>
      <c r="O16" s="204">
        <f t="shared" si="5"/>
        <v>0</v>
      </c>
      <c r="P16" s="203"/>
      <c r="Q16" s="204">
        <f t="shared" si="0"/>
        <v>0</v>
      </c>
      <c r="R16" s="203"/>
      <c r="S16" s="204">
        <f>IF(R16="",0,IF(ISERROR(R16*Remuneración!$AP17),"",R16*Remuneración!$AP17))</f>
        <v>0</v>
      </c>
      <c r="T16" s="203"/>
      <c r="U16" s="204">
        <f>IF(T16="",0,IF(ISERROR(T16*Remuneración!$AP17),"",T16*Remuneración!$AP17))</f>
        <v>0</v>
      </c>
      <c r="V16" s="203"/>
      <c r="W16" s="204">
        <f>IF(V16="",0,IF(ISERROR(V16*Remuneración!$AP17),"",V16*Remuneración!$AP17))</f>
        <v>0</v>
      </c>
      <c r="X16" s="203"/>
      <c r="Y16" s="204">
        <f>IF(X16="",0,IF(ISERROR(X16*Remuneración!$AP17),"",X16*Remuneración!$AP17))</f>
        <v>0</v>
      </c>
      <c r="Z16" s="191"/>
      <c r="AA16" s="191"/>
      <c r="AB16" s="191"/>
      <c r="AC16" s="206">
        <f t="shared" si="1"/>
        <v>0</v>
      </c>
      <c r="AD16" s="208"/>
      <c r="AE16" s="208"/>
      <c r="AF16" s="208"/>
      <c r="AG16" s="208"/>
      <c r="AH16" s="208"/>
      <c r="AI16" s="208"/>
      <c r="AJ16" s="208"/>
      <c r="AK16" s="208"/>
      <c r="AL16" s="204">
        <f t="shared" si="2"/>
        <v>0</v>
      </c>
      <c r="AM16" s="204">
        <f t="shared" si="3"/>
        <v>0</v>
      </c>
      <c r="AN16" s="204">
        <f>+AM16-AC16+Remuneración!AP17</f>
        <v>0</v>
      </c>
      <c r="AO16" s="204">
        <f t="shared" si="4"/>
        <v>0</v>
      </c>
    </row>
    <row r="17" spans="2:41">
      <c r="B17" s="202"/>
      <c r="C17" s="202" t="str">
        <f>+Remuneración!C18</f>
        <v/>
      </c>
      <c r="D17" s="203"/>
      <c r="E17" s="204">
        <f>IF(D17="",0,IF(ISERROR(D17*Remuneración!$AP18),"",D17*Remuneración!$AP18))</f>
        <v>0</v>
      </c>
      <c r="F17" s="203"/>
      <c r="G17" s="204">
        <f>IF(F17="",0,IF(ISERROR(F17*Remuneración!$AP18),"",F17*Remuneración!$AP18))</f>
        <v>0</v>
      </c>
      <c r="H17" s="203"/>
      <c r="I17" s="204">
        <f>IF(H17="",0,IF(ISERROR(H17*Remuneración!$AP18),"",H17*Remuneración!$AP18))</f>
        <v>0</v>
      </c>
      <c r="J17" s="203"/>
      <c r="K17" s="204">
        <f>IF(J17="",0,IF(ISERROR(J17*Remuneración!$AP18),"",J17*Remuneración!$AP18))</f>
        <v>0</v>
      </c>
      <c r="L17" s="203"/>
      <c r="M17" s="204">
        <f>IF(L17="",0,IF(ISERROR(L17*Remuneración!$AP18),"",L17*Remuneración!$AP18))</f>
        <v>0</v>
      </c>
      <c r="N17" s="203"/>
      <c r="O17" s="204">
        <f t="shared" si="5"/>
        <v>0</v>
      </c>
      <c r="P17" s="203"/>
      <c r="Q17" s="204">
        <f t="shared" si="0"/>
        <v>0</v>
      </c>
      <c r="R17" s="203"/>
      <c r="S17" s="204">
        <f>IF(R17="",0,IF(ISERROR(R17*Remuneración!$AP18),"",R17*Remuneración!$AP18))</f>
        <v>0</v>
      </c>
      <c r="T17" s="203"/>
      <c r="U17" s="204">
        <f>IF(T17="",0,IF(ISERROR(T17*Remuneración!$AP18),"",T17*Remuneración!$AP18))</f>
        <v>0</v>
      </c>
      <c r="V17" s="203"/>
      <c r="W17" s="204">
        <f>IF(V17="",0,IF(ISERROR(V17*Remuneración!$AP18),"",V17*Remuneración!$AP18))</f>
        <v>0</v>
      </c>
      <c r="X17" s="203"/>
      <c r="Y17" s="204">
        <f>IF(X17="",0,IF(ISERROR(X17*Remuneración!$AP18),"",X17*Remuneración!$AP18))</f>
        <v>0</v>
      </c>
      <c r="Z17" s="191"/>
      <c r="AA17" s="191"/>
      <c r="AB17" s="191"/>
      <c r="AC17" s="206">
        <f t="shared" si="1"/>
        <v>0</v>
      </c>
      <c r="AD17" s="208"/>
      <c r="AE17" s="208"/>
      <c r="AF17" s="208"/>
      <c r="AG17" s="208"/>
      <c r="AH17" s="208"/>
      <c r="AI17" s="208"/>
      <c r="AJ17" s="208"/>
      <c r="AK17" s="208"/>
      <c r="AL17" s="204">
        <f t="shared" si="2"/>
        <v>0</v>
      </c>
      <c r="AM17" s="204">
        <f t="shared" si="3"/>
        <v>0</v>
      </c>
      <c r="AN17" s="204">
        <f>+AM17-AC17+Remuneración!AP18</f>
        <v>0</v>
      </c>
      <c r="AO17" s="204">
        <f t="shared" si="4"/>
        <v>0</v>
      </c>
    </row>
    <row r="18" spans="2:41">
      <c r="B18" s="202"/>
      <c r="C18" s="202" t="str">
        <f>+Remuneración!C19</f>
        <v/>
      </c>
      <c r="D18" s="203"/>
      <c r="E18" s="204">
        <f>IF(D18="",0,IF(ISERROR(D18*Remuneración!$AP19),"",D18*Remuneración!$AP19))</f>
        <v>0</v>
      </c>
      <c r="F18" s="203"/>
      <c r="G18" s="204">
        <f>IF(F18="",0,IF(ISERROR(F18*Remuneración!$AP19),"",F18*Remuneración!$AP19))</f>
        <v>0</v>
      </c>
      <c r="H18" s="203"/>
      <c r="I18" s="204">
        <f>IF(H18="",0,IF(ISERROR(H18*Remuneración!$AP19),"",H18*Remuneración!$AP19))</f>
        <v>0</v>
      </c>
      <c r="J18" s="203"/>
      <c r="K18" s="204">
        <f>IF(J18="",0,IF(ISERROR(J18*Remuneración!$AP19),"",J18*Remuneración!$AP19))</f>
        <v>0</v>
      </c>
      <c r="L18" s="203"/>
      <c r="M18" s="204">
        <f>IF(L18="",0,IF(ISERROR(L18*Remuneración!$AP19),"",L18*Remuneración!$AP19))</f>
        <v>0</v>
      </c>
      <c r="N18" s="203"/>
      <c r="O18" s="204">
        <f t="shared" si="5"/>
        <v>0</v>
      </c>
      <c r="P18" s="203"/>
      <c r="Q18" s="204">
        <f t="shared" si="0"/>
        <v>0</v>
      </c>
      <c r="R18" s="203"/>
      <c r="S18" s="204">
        <f>IF(R18="",0,IF(ISERROR(R18*Remuneración!$AP19),"",R18*Remuneración!$AP19))</f>
        <v>0</v>
      </c>
      <c r="T18" s="203"/>
      <c r="U18" s="204">
        <f>IF(T18="",0,IF(ISERROR(T18*Remuneración!$AP19),"",T18*Remuneración!$AP19))</f>
        <v>0</v>
      </c>
      <c r="V18" s="203"/>
      <c r="W18" s="204">
        <f>IF(V18="",0,IF(ISERROR(V18*Remuneración!$AP19),"",V18*Remuneración!$AP19))</f>
        <v>0</v>
      </c>
      <c r="X18" s="203"/>
      <c r="Y18" s="204">
        <f>IF(X18="",0,IF(ISERROR(X18*Remuneración!$AP19),"",X18*Remuneración!$AP19))</f>
        <v>0</v>
      </c>
      <c r="Z18" s="191"/>
      <c r="AA18" s="191"/>
      <c r="AB18" s="191"/>
      <c r="AC18" s="206">
        <f t="shared" si="1"/>
        <v>0</v>
      </c>
      <c r="AD18" s="208"/>
      <c r="AE18" s="208"/>
      <c r="AF18" s="208"/>
      <c r="AG18" s="208"/>
      <c r="AH18" s="208"/>
      <c r="AI18" s="208"/>
      <c r="AJ18" s="208"/>
      <c r="AK18" s="208"/>
      <c r="AL18" s="204">
        <f t="shared" si="2"/>
        <v>0</v>
      </c>
      <c r="AM18" s="204"/>
      <c r="AN18" s="204">
        <f>+AM18-AC18+Remuneración!AP19</f>
        <v>0</v>
      </c>
      <c r="AO18" s="204">
        <f t="shared" si="4"/>
        <v>0</v>
      </c>
    </row>
    <row r="19" spans="2:41">
      <c r="B19" s="202"/>
      <c r="C19" s="202" t="str">
        <f>+Remuneración!C20</f>
        <v/>
      </c>
      <c r="D19" s="203"/>
      <c r="E19" s="204">
        <f>IF(D19="",0,IF(ISERROR(D19*Remuneración!$AP20),"",D19*Remuneración!$AP20))</f>
        <v>0</v>
      </c>
      <c r="F19" s="203"/>
      <c r="G19" s="204">
        <f>IF(F19="",0,IF(ISERROR(F19*Remuneración!$AP20),"",F19*Remuneración!$AP20))</f>
        <v>0</v>
      </c>
      <c r="H19" s="203"/>
      <c r="I19" s="204">
        <f>IF(H19="",0,IF(ISERROR(H19*Remuneración!$AP20),"",H19*Remuneración!$AP20))</f>
        <v>0</v>
      </c>
      <c r="J19" s="203"/>
      <c r="K19" s="204">
        <f>IF(J19="",0,IF(ISERROR(J19*Remuneración!$AP20),"",J19*Remuneración!$AP20))</f>
        <v>0</v>
      </c>
      <c r="L19" s="203"/>
      <c r="M19" s="204">
        <f>IF(L19="",0,IF(ISERROR(L19*Remuneración!$AP20),"",L19*Remuneración!$AP20))</f>
        <v>0</v>
      </c>
      <c r="N19" s="203"/>
      <c r="O19" s="204">
        <f t="shared" si="5"/>
        <v>0</v>
      </c>
      <c r="P19" s="203"/>
      <c r="Q19" s="204">
        <f t="shared" si="0"/>
        <v>0</v>
      </c>
      <c r="R19" s="203"/>
      <c r="S19" s="204">
        <f>IF(R19="",0,IF(ISERROR(R19*Remuneración!$AP20),"",R19*Remuneración!$AP20))</f>
        <v>0</v>
      </c>
      <c r="T19" s="203"/>
      <c r="U19" s="204">
        <f>IF(T19="",0,IF(ISERROR(T19*Remuneración!$AP20),"",T19*Remuneración!$AP20))</f>
        <v>0</v>
      </c>
      <c r="V19" s="203"/>
      <c r="W19" s="204">
        <f>IF(V19="",0,IF(ISERROR(V19*Remuneración!$AP20),"",V19*Remuneración!$AP20))</f>
        <v>0</v>
      </c>
      <c r="X19" s="203"/>
      <c r="Y19" s="204">
        <f>IF(X19="",0,IF(ISERROR(X19*Remuneración!$AP20),"",X19*Remuneración!$AP20))</f>
        <v>0</v>
      </c>
      <c r="Z19" s="191"/>
      <c r="AA19" s="191"/>
      <c r="AB19" s="191"/>
      <c r="AC19" s="206">
        <f t="shared" si="1"/>
        <v>0</v>
      </c>
      <c r="AD19" s="208"/>
      <c r="AE19" s="208"/>
      <c r="AF19" s="208"/>
      <c r="AG19" s="208"/>
      <c r="AH19" s="208"/>
      <c r="AI19" s="208"/>
      <c r="AJ19" s="208"/>
      <c r="AK19" s="208"/>
      <c r="AL19" s="204">
        <f t="shared" si="2"/>
        <v>0</v>
      </c>
      <c r="AM19" s="204">
        <f t="shared" si="3"/>
        <v>0</v>
      </c>
      <c r="AN19" s="204">
        <f>+AM19-AC19+Remuneración!AP20</f>
        <v>0</v>
      </c>
      <c r="AO19" s="204">
        <f t="shared" si="4"/>
        <v>0</v>
      </c>
    </row>
    <row r="20" spans="2:41">
      <c r="B20" s="202"/>
      <c r="C20" s="202" t="str">
        <f>+Remuneración!C21</f>
        <v/>
      </c>
      <c r="D20" s="203"/>
      <c r="E20" s="204">
        <f>IF(D20="",0,IF(ISERROR(D20*Remuneración!$AP21),"",D20*Remuneración!$AP21))</f>
        <v>0</v>
      </c>
      <c r="F20" s="203"/>
      <c r="G20" s="204">
        <f>IF(F20="",0,IF(ISERROR(F20*Remuneración!$AP21),"",F20*Remuneración!$AP21))</f>
        <v>0</v>
      </c>
      <c r="H20" s="203"/>
      <c r="I20" s="204">
        <f>IF(H20="",0,IF(ISERROR(H20*Remuneración!$AP21),"",H20*Remuneración!$AP21))</f>
        <v>0</v>
      </c>
      <c r="J20" s="203"/>
      <c r="K20" s="204">
        <f>IF(J20="",0,IF(ISERROR(J20*Remuneración!$AP21),"",J20*Remuneración!$AP21))</f>
        <v>0</v>
      </c>
      <c r="L20" s="203"/>
      <c r="M20" s="204">
        <f>IF(L20="",0,IF(ISERROR(L20*Remuneración!$AP21),"",L20*Remuneración!$AP21))</f>
        <v>0</v>
      </c>
      <c r="N20" s="203"/>
      <c r="O20" s="204">
        <f t="shared" si="5"/>
        <v>0</v>
      </c>
      <c r="P20" s="203"/>
      <c r="Q20" s="204">
        <f t="shared" si="0"/>
        <v>0</v>
      </c>
      <c r="R20" s="203"/>
      <c r="S20" s="204">
        <f>IF(R20="",0,IF(ISERROR(R20*Remuneración!$AP21),"",R20*Remuneración!$AP21))</f>
        <v>0</v>
      </c>
      <c r="T20" s="203"/>
      <c r="U20" s="204">
        <f>IF(T20="",0,IF(ISERROR(T20*Remuneración!$AP21),"",T20*Remuneración!$AP21))</f>
        <v>0</v>
      </c>
      <c r="V20" s="203"/>
      <c r="W20" s="204">
        <f>IF(V20="",0,IF(ISERROR(V20*Remuneración!$AP21),"",V20*Remuneración!$AP21))</f>
        <v>0</v>
      </c>
      <c r="X20" s="203"/>
      <c r="Y20" s="204">
        <f>IF(X20="",0,IF(ISERROR(X20*Remuneración!$AP21),"",X20*Remuneración!$AP21))</f>
        <v>0</v>
      </c>
      <c r="Z20" s="191"/>
      <c r="AA20" s="191"/>
      <c r="AB20" s="191"/>
      <c r="AC20" s="206">
        <f t="shared" si="1"/>
        <v>0</v>
      </c>
      <c r="AD20" s="208"/>
      <c r="AE20" s="208"/>
      <c r="AF20" s="208"/>
      <c r="AG20" s="208"/>
      <c r="AH20" s="208"/>
      <c r="AI20" s="208"/>
      <c r="AJ20" s="208"/>
      <c r="AK20" s="208"/>
      <c r="AL20" s="204">
        <f t="shared" si="2"/>
        <v>0</v>
      </c>
      <c r="AM20" s="204">
        <f t="shared" si="3"/>
        <v>0</v>
      </c>
      <c r="AN20" s="204">
        <f>+AM20-AC20+Remuneración!AP21</f>
        <v>0</v>
      </c>
      <c r="AO20" s="204">
        <f t="shared" si="4"/>
        <v>0</v>
      </c>
    </row>
    <row r="21" spans="2:41">
      <c r="B21" s="202"/>
      <c r="C21" s="202" t="str">
        <f>+Remuneración!C22</f>
        <v/>
      </c>
      <c r="D21" s="203"/>
      <c r="E21" s="204">
        <f>IF(D21="",0,IF(ISERROR(D21*Remuneración!$AP22),"",D21*Remuneración!$AP22))</f>
        <v>0</v>
      </c>
      <c r="F21" s="203"/>
      <c r="G21" s="204">
        <f>IF(F21="",0,IF(ISERROR(F21*Remuneración!$AP22),"",F21*Remuneración!$AP22))</f>
        <v>0</v>
      </c>
      <c r="H21" s="203"/>
      <c r="I21" s="204">
        <f>IF(H21="",0,IF(ISERROR(H21*Remuneración!$AP22),"",H21*Remuneración!$AP22))</f>
        <v>0</v>
      </c>
      <c r="J21" s="203"/>
      <c r="K21" s="204">
        <f>IF(J21="",0,IF(ISERROR(J21*Remuneración!$AP22),"",J21*Remuneración!$AP22))</f>
        <v>0</v>
      </c>
      <c r="L21" s="203"/>
      <c r="M21" s="204">
        <f>IF(L21="",0,IF(ISERROR(L21*Remuneración!$AP22),"",L21*Remuneración!$AP22))</f>
        <v>0</v>
      </c>
      <c r="N21" s="203"/>
      <c r="O21" s="204">
        <f t="shared" si="5"/>
        <v>0</v>
      </c>
      <c r="P21" s="203"/>
      <c r="Q21" s="204">
        <f t="shared" si="0"/>
        <v>0</v>
      </c>
      <c r="R21" s="203"/>
      <c r="S21" s="204">
        <f>IF(R21="",0,IF(ISERROR(R21*Remuneración!$AP22),"",R21*Remuneración!$AP22))</f>
        <v>0</v>
      </c>
      <c r="T21" s="203"/>
      <c r="U21" s="204">
        <f>IF(T21="",0,IF(ISERROR(T21*Remuneración!$AP22),"",T21*Remuneración!$AP22))</f>
        <v>0</v>
      </c>
      <c r="V21" s="203"/>
      <c r="W21" s="204">
        <f>IF(V21="",0,IF(ISERROR(V21*Remuneración!$AP22),"",V21*Remuneración!$AP22))</f>
        <v>0</v>
      </c>
      <c r="X21" s="203"/>
      <c r="Y21" s="204">
        <f>IF(X21="",0,IF(ISERROR(X21*Remuneración!$AP22),"",X21*Remuneración!$AP22))</f>
        <v>0</v>
      </c>
      <c r="Z21" s="191"/>
      <c r="AA21" s="191"/>
      <c r="AB21" s="191"/>
      <c r="AC21" s="206">
        <f t="shared" si="1"/>
        <v>0</v>
      </c>
      <c r="AD21" s="208"/>
      <c r="AE21" s="208"/>
      <c r="AF21" s="208"/>
      <c r="AG21" s="208"/>
      <c r="AH21" s="208"/>
      <c r="AI21" s="208"/>
      <c r="AJ21" s="208"/>
      <c r="AK21" s="208"/>
      <c r="AL21" s="204">
        <f t="shared" si="2"/>
        <v>0</v>
      </c>
      <c r="AM21" s="204">
        <f t="shared" si="3"/>
        <v>0</v>
      </c>
      <c r="AN21" s="204">
        <f>+AM21-AC21+Remuneración!AP22</f>
        <v>0</v>
      </c>
      <c r="AO21" s="204">
        <f t="shared" si="4"/>
        <v>0</v>
      </c>
    </row>
    <row r="22" spans="2:41">
      <c r="B22" s="202"/>
      <c r="C22" s="202" t="str">
        <f>+Remuneración!C23</f>
        <v/>
      </c>
      <c r="D22" s="203"/>
      <c r="E22" s="204">
        <f>IF(D22="",0,IF(ISERROR(D22*Remuneración!$AP23),"",D22*Remuneración!$AP23))</f>
        <v>0</v>
      </c>
      <c r="F22" s="203"/>
      <c r="G22" s="204">
        <f>IF(F22="",0,IF(ISERROR(F22*Remuneración!$AP23),"",F22*Remuneración!$AP23))</f>
        <v>0</v>
      </c>
      <c r="H22" s="203"/>
      <c r="I22" s="204">
        <f>IF(H22="",0,IF(ISERROR(H22*Remuneración!$AP23),"",H22*Remuneración!$AP23))</f>
        <v>0</v>
      </c>
      <c r="J22" s="203"/>
      <c r="K22" s="204">
        <f>IF(J22="",0,IF(ISERROR(J22*Remuneración!$AP23),"",J22*Remuneración!$AP23))</f>
        <v>0</v>
      </c>
      <c r="L22" s="203"/>
      <c r="M22" s="204">
        <f>IF(L22="",0,IF(ISERROR(L22*Remuneración!$AP23),"",L22*Remuneración!$AP23))</f>
        <v>0</v>
      </c>
      <c r="N22" s="203"/>
      <c r="O22" s="204">
        <f t="shared" si="5"/>
        <v>0</v>
      </c>
      <c r="P22" s="203"/>
      <c r="Q22" s="204">
        <f t="shared" si="0"/>
        <v>0</v>
      </c>
      <c r="R22" s="203"/>
      <c r="S22" s="204">
        <f>IF(R22="",0,IF(ISERROR(R22*Remuneración!$AP23),"",R22*Remuneración!$AP23))</f>
        <v>0</v>
      </c>
      <c r="T22" s="203"/>
      <c r="U22" s="204">
        <f>IF(T22="",0,IF(ISERROR(T22*Remuneración!$AP23),"",T22*Remuneración!$AP23))</f>
        <v>0</v>
      </c>
      <c r="V22" s="203"/>
      <c r="W22" s="204">
        <f>IF(V22="",0,IF(ISERROR(V22*Remuneración!$AP23),"",V22*Remuneración!$AP23))</f>
        <v>0</v>
      </c>
      <c r="X22" s="203"/>
      <c r="Y22" s="204">
        <f>IF(X22="",0,IF(ISERROR(X22*Remuneración!$AP23),"",X22*Remuneración!$AP23))</f>
        <v>0</v>
      </c>
      <c r="Z22" s="191"/>
      <c r="AA22" s="191"/>
      <c r="AB22" s="191"/>
      <c r="AC22" s="206">
        <f t="shared" si="1"/>
        <v>0</v>
      </c>
      <c r="AD22" s="208"/>
      <c r="AE22" s="208"/>
      <c r="AF22" s="208"/>
      <c r="AG22" s="208"/>
      <c r="AH22" s="208"/>
      <c r="AI22" s="208"/>
      <c r="AJ22" s="208"/>
      <c r="AK22" s="208"/>
      <c r="AL22" s="204">
        <f t="shared" si="2"/>
        <v>0</v>
      </c>
      <c r="AM22" s="204">
        <f t="shared" si="3"/>
        <v>0</v>
      </c>
      <c r="AN22" s="204">
        <f>+AM22-AC22+Remuneración!AP23</f>
        <v>0</v>
      </c>
      <c r="AO22" s="204">
        <f t="shared" si="4"/>
        <v>0</v>
      </c>
    </row>
    <row r="23" spans="2:41">
      <c r="B23" s="202"/>
      <c r="C23" s="202" t="str">
        <f>+Remuneración!C24</f>
        <v/>
      </c>
      <c r="D23" s="203"/>
      <c r="E23" s="204">
        <f>IF(D23="",0,IF(ISERROR(D23*Remuneración!$AP24),"",D23*Remuneración!$AP24))</f>
        <v>0</v>
      </c>
      <c r="F23" s="203"/>
      <c r="G23" s="204">
        <f>IF(F23="",0,IF(ISERROR(F23*Remuneración!$AP24),"",F23*Remuneración!$AP24))</f>
        <v>0</v>
      </c>
      <c r="H23" s="203"/>
      <c r="I23" s="204">
        <f>IF(H23="",0,IF(ISERROR(H23*Remuneración!$AP24),"",H23*Remuneración!$AP24))</f>
        <v>0</v>
      </c>
      <c r="J23" s="203"/>
      <c r="K23" s="204">
        <f>IF(J23="",0,IF(ISERROR(J23*Remuneración!$AP24),"",J23*Remuneración!$AP24))</f>
        <v>0</v>
      </c>
      <c r="L23" s="203"/>
      <c r="M23" s="204">
        <f>IF(L23="",0,IF(ISERROR(L23*Remuneración!$AP24),"",L23*Remuneración!$AP24))</f>
        <v>0</v>
      </c>
      <c r="N23" s="203"/>
      <c r="O23" s="204">
        <f t="shared" si="5"/>
        <v>0</v>
      </c>
      <c r="P23" s="203"/>
      <c r="Q23" s="204">
        <f t="shared" si="0"/>
        <v>0</v>
      </c>
      <c r="R23" s="203"/>
      <c r="S23" s="204">
        <f>IF(R23="",0,IF(ISERROR(R23*Remuneración!$AP24),"",R23*Remuneración!$AP24))</f>
        <v>0</v>
      </c>
      <c r="T23" s="203"/>
      <c r="U23" s="204">
        <f>IF(T23="",0,IF(ISERROR(T23*Remuneración!$AP24),"",T23*Remuneración!$AP24))</f>
        <v>0</v>
      </c>
      <c r="V23" s="203"/>
      <c r="W23" s="204">
        <f>IF(V23="",0,IF(ISERROR(V23*Remuneración!$AP24),"",V23*Remuneración!$AP24))</f>
        <v>0</v>
      </c>
      <c r="X23" s="203"/>
      <c r="Y23" s="204">
        <f>IF(X23="",0,IF(ISERROR(X23*Remuneración!$AP24),"",X23*Remuneración!$AP24))</f>
        <v>0</v>
      </c>
      <c r="Z23" s="191"/>
      <c r="AA23" s="191"/>
      <c r="AB23" s="191"/>
      <c r="AC23" s="206">
        <f t="shared" si="1"/>
        <v>0</v>
      </c>
      <c r="AD23" s="208"/>
      <c r="AE23" s="208"/>
      <c r="AF23" s="208"/>
      <c r="AG23" s="208"/>
      <c r="AH23" s="208"/>
      <c r="AI23" s="208"/>
      <c r="AJ23" s="208"/>
      <c r="AK23" s="208"/>
      <c r="AL23" s="204">
        <f t="shared" si="2"/>
        <v>0</v>
      </c>
      <c r="AM23" s="204">
        <f t="shared" si="3"/>
        <v>0</v>
      </c>
      <c r="AN23" s="204">
        <f>+AM23-AC23+Remuneración!AP24</f>
        <v>0</v>
      </c>
      <c r="AO23" s="204">
        <f t="shared" si="4"/>
        <v>0</v>
      </c>
    </row>
    <row r="24" spans="2:41">
      <c r="B24" s="202" t="str">
        <f>+Remuneración!B25</f>
        <v/>
      </c>
      <c r="C24" s="202" t="str">
        <f>+Remuneración!C25</f>
        <v/>
      </c>
      <c r="D24" s="203"/>
      <c r="E24" s="204">
        <f>IF(D24="",0,IF(ISERROR(D24*Remuneración!$AP25),"",D24*Remuneración!$AP25))</f>
        <v>0</v>
      </c>
      <c r="F24" s="203"/>
      <c r="G24" s="204">
        <f>IF(F24="",0,IF(ISERROR(F24*Remuneración!$AP25),"",F24*Remuneración!$AP25))</f>
        <v>0</v>
      </c>
      <c r="H24" s="203"/>
      <c r="I24" s="204">
        <f>IF(H24="",0,IF(ISERROR(H24*Remuneración!$AP25),"",H24*Remuneración!$AP25))</f>
        <v>0</v>
      </c>
      <c r="J24" s="203"/>
      <c r="K24" s="204">
        <f>IF(J24="",0,IF(ISERROR(J24*Remuneración!$AP25),"",J24*Remuneración!$AP25))</f>
        <v>0</v>
      </c>
      <c r="L24" s="203"/>
      <c r="M24" s="204">
        <f>IF(L24="",0,IF(ISERROR(L24*Remuneración!$AP25),"",L24*Remuneración!$AP25))</f>
        <v>0</v>
      </c>
      <c r="N24" s="203"/>
      <c r="O24" s="204">
        <f t="shared" si="5"/>
        <v>0</v>
      </c>
      <c r="P24" s="203"/>
      <c r="Q24" s="204">
        <f t="shared" si="0"/>
        <v>0</v>
      </c>
      <c r="R24" s="203"/>
      <c r="S24" s="204">
        <f>IF(R24="",0,IF(ISERROR(R24*Remuneración!$AP25),"",R24*Remuneración!$AP25))</f>
        <v>0</v>
      </c>
      <c r="T24" s="203"/>
      <c r="U24" s="204">
        <f>IF(T24="",0,IF(ISERROR(T24*Remuneración!$AP25),"",T24*Remuneración!$AP25))</f>
        <v>0</v>
      </c>
      <c r="V24" s="203"/>
      <c r="W24" s="204">
        <f>IF(V24="",0,IF(ISERROR(V24*Remuneración!$AP25),"",V24*Remuneración!$AP25))</f>
        <v>0</v>
      </c>
      <c r="X24" s="203"/>
      <c r="Y24" s="204">
        <f>IF(X24="",0,IF(ISERROR(X24*Remuneración!$AP25),"",X24*Remuneración!$AP25))</f>
        <v>0</v>
      </c>
      <c r="Z24" s="191"/>
      <c r="AA24" s="191"/>
      <c r="AB24" s="191"/>
      <c r="AC24" s="206">
        <f t="shared" si="1"/>
        <v>0</v>
      </c>
      <c r="AD24" s="208"/>
      <c r="AE24" s="208"/>
      <c r="AF24" s="208"/>
      <c r="AG24" s="208"/>
      <c r="AH24" s="208"/>
      <c r="AI24" s="208"/>
      <c r="AJ24" s="208"/>
      <c r="AK24" s="208"/>
      <c r="AL24" s="204">
        <f t="shared" si="2"/>
        <v>0</v>
      </c>
      <c r="AM24" s="204">
        <f t="shared" si="3"/>
        <v>0</v>
      </c>
      <c r="AN24" s="204">
        <f>+AM24-AC24+Remuneración!AP25</f>
        <v>0</v>
      </c>
      <c r="AO24" s="204">
        <f t="shared" si="4"/>
        <v>0</v>
      </c>
    </row>
    <row r="25" spans="2:41">
      <c r="B25" s="202" t="str">
        <f>+Remuneración!B26</f>
        <v/>
      </c>
      <c r="C25" s="202" t="str">
        <f>+Remuneración!C26</f>
        <v/>
      </c>
      <c r="D25" s="203"/>
      <c r="E25" s="204">
        <f>IF(D25="",0,IF(ISERROR(D25*Remuneración!$AP26),"",D25*Remuneración!$AP26))</f>
        <v>0</v>
      </c>
      <c r="F25" s="203"/>
      <c r="G25" s="204">
        <f>IF(F25="",0,IF(ISERROR(F25*Remuneración!$AP26),"",F25*Remuneración!$AP26))</f>
        <v>0</v>
      </c>
      <c r="H25" s="203"/>
      <c r="I25" s="204">
        <f>IF(H25="",0,IF(ISERROR(H25*Remuneración!$AP26),"",H25*Remuneración!$AP26))</f>
        <v>0</v>
      </c>
      <c r="J25" s="203"/>
      <c r="K25" s="204">
        <f>IF(J25="",0,IF(ISERROR(J25*Remuneración!$AP26),"",J25*Remuneración!$AP26))</f>
        <v>0</v>
      </c>
      <c r="L25" s="203"/>
      <c r="M25" s="204">
        <f>IF(L25="",0,IF(ISERROR(L25*Remuneración!$AP26),"",L25*Remuneración!$AP26))</f>
        <v>0</v>
      </c>
      <c r="N25" s="203"/>
      <c r="O25" s="204">
        <f t="shared" si="5"/>
        <v>0</v>
      </c>
      <c r="P25" s="203"/>
      <c r="Q25" s="204">
        <f t="shared" si="0"/>
        <v>0</v>
      </c>
      <c r="R25" s="203"/>
      <c r="S25" s="204">
        <f>IF(R25="",0,IF(ISERROR(R25*Remuneración!$AP26),"",R25*Remuneración!$AP26))</f>
        <v>0</v>
      </c>
      <c r="T25" s="203"/>
      <c r="U25" s="204">
        <f>IF(T25="",0,IF(ISERROR(T25*Remuneración!$AP26),"",T25*Remuneración!$AP26))</f>
        <v>0</v>
      </c>
      <c r="V25" s="203"/>
      <c r="W25" s="204">
        <f>IF(V25="",0,IF(ISERROR(V25*Remuneración!$AP26),"",V25*Remuneración!$AP26))</f>
        <v>0</v>
      </c>
      <c r="X25" s="203"/>
      <c r="Y25" s="204">
        <f>IF(X25="",0,IF(ISERROR(X25*Remuneración!$AP26),"",X25*Remuneración!$AP26))</f>
        <v>0</v>
      </c>
      <c r="Z25" s="191"/>
      <c r="AA25" s="191"/>
      <c r="AB25" s="191"/>
      <c r="AC25" s="206">
        <f t="shared" si="1"/>
        <v>0</v>
      </c>
      <c r="AD25" s="208"/>
      <c r="AE25" s="208"/>
      <c r="AF25" s="208"/>
      <c r="AG25" s="208"/>
      <c r="AH25" s="208"/>
      <c r="AI25" s="208"/>
      <c r="AJ25" s="208"/>
      <c r="AK25" s="208"/>
      <c r="AL25" s="204">
        <f t="shared" si="2"/>
        <v>0</v>
      </c>
      <c r="AM25" s="204">
        <f t="shared" si="3"/>
        <v>0</v>
      </c>
      <c r="AN25" s="204">
        <f>+AM25-AC25+Remuneración!AP26</f>
        <v>0</v>
      </c>
      <c r="AO25" s="204">
        <f t="shared" si="4"/>
        <v>0</v>
      </c>
    </row>
    <row r="26" spans="2:41">
      <c r="B26" s="202" t="str">
        <f>+Remuneración!B27</f>
        <v/>
      </c>
      <c r="C26" s="202" t="str">
        <f>+Remuneración!C27</f>
        <v/>
      </c>
      <c r="D26" s="203"/>
      <c r="E26" s="204">
        <f>IF(D26="",0,IF(ISERROR(D26*Remuneración!$AP27),"",D26*Remuneración!$AP27))</f>
        <v>0</v>
      </c>
      <c r="F26" s="203"/>
      <c r="G26" s="204">
        <f>IF(F26="",0,IF(ISERROR(F26*Remuneración!$AP27),"",F26*Remuneración!$AP27))</f>
        <v>0</v>
      </c>
      <c r="H26" s="203"/>
      <c r="I26" s="204">
        <f>IF(H26="",0,IF(ISERROR(H26*Remuneración!$AP27),"",H26*Remuneración!$AP27))</f>
        <v>0</v>
      </c>
      <c r="J26" s="203"/>
      <c r="K26" s="204">
        <f>IF(J26="",0,IF(ISERROR(J26*Remuneración!$AP27),"",J26*Remuneración!$AP27))</f>
        <v>0</v>
      </c>
      <c r="L26" s="203"/>
      <c r="M26" s="204">
        <f>IF(L26="",0,IF(ISERROR(L26*Remuneración!$AP27),"",L26*Remuneración!$AP27))</f>
        <v>0</v>
      </c>
      <c r="N26" s="203"/>
      <c r="O26" s="204">
        <f t="shared" si="5"/>
        <v>0</v>
      </c>
      <c r="P26" s="203"/>
      <c r="Q26" s="204">
        <f t="shared" si="0"/>
        <v>0</v>
      </c>
      <c r="R26" s="203"/>
      <c r="S26" s="204">
        <f>IF(R26="",0,IF(ISERROR(R26*Remuneración!$AP27),"",R26*Remuneración!$AP27))</f>
        <v>0</v>
      </c>
      <c r="T26" s="203"/>
      <c r="U26" s="204">
        <f>IF(T26="",0,IF(ISERROR(T26*Remuneración!$AP27),"",T26*Remuneración!$AP27))</f>
        <v>0</v>
      </c>
      <c r="V26" s="203"/>
      <c r="W26" s="204">
        <f>IF(V26="",0,IF(ISERROR(V26*Remuneración!$AP27),"",V26*Remuneración!$AP27))</f>
        <v>0</v>
      </c>
      <c r="X26" s="203"/>
      <c r="Y26" s="204">
        <f>IF(X26="",0,IF(ISERROR(X26*Remuneración!$AP27),"",X26*Remuneración!$AP27))</f>
        <v>0</v>
      </c>
      <c r="Z26" s="191"/>
      <c r="AA26" s="191"/>
      <c r="AB26" s="191"/>
      <c r="AC26" s="206">
        <f t="shared" si="1"/>
        <v>0</v>
      </c>
      <c r="AD26" s="208"/>
      <c r="AE26" s="208"/>
      <c r="AF26" s="208"/>
      <c r="AG26" s="208"/>
      <c r="AH26" s="208"/>
      <c r="AI26" s="208"/>
      <c r="AJ26" s="208"/>
      <c r="AK26" s="208"/>
      <c r="AL26" s="204">
        <f t="shared" si="2"/>
        <v>0</v>
      </c>
      <c r="AM26" s="204">
        <f t="shared" si="3"/>
        <v>0</v>
      </c>
      <c r="AN26" s="204">
        <f>+AM26-AC26+Remuneración!AP27</f>
        <v>0</v>
      </c>
      <c r="AO26" s="204">
        <f t="shared" si="4"/>
        <v>0</v>
      </c>
    </row>
    <row r="27" spans="2:41">
      <c r="B27" s="202" t="str">
        <f>+Remuneración!B28</f>
        <v/>
      </c>
      <c r="C27" s="202" t="str">
        <f>+Remuneración!C28</f>
        <v/>
      </c>
      <c r="D27" s="203"/>
      <c r="E27" s="204">
        <f>IF(D27="",0,IF(ISERROR(D27*Remuneración!$AP28),"",D27*Remuneración!$AP28))</f>
        <v>0</v>
      </c>
      <c r="F27" s="203"/>
      <c r="G27" s="204">
        <f>IF(F27="",0,IF(ISERROR(F27*Remuneración!$AP28),"",F27*Remuneración!$AP28))</f>
        <v>0</v>
      </c>
      <c r="H27" s="203"/>
      <c r="I27" s="204"/>
      <c r="J27" s="203"/>
      <c r="K27" s="204">
        <f>IF(J27="",0,IF(ISERROR(J27*Remuneración!$AP28),"",J27*Remuneración!$AP28))</f>
        <v>0</v>
      </c>
      <c r="L27" s="203"/>
      <c r="M27" s="204">
        <f>IF(L27="",0,IF(ISERROR(L27*Remuneración!$AP28),"",L27*Remuneración!$AP28))</f>
        <v>0</v>
      </c>
      <c r="N27" s="203"/>
      <c r="O27" s="204">
        <f t="shared" si="5"/>
        <v>0</v>
      </c>
      <c r="P27" s="203"/>
      <c r="Q27" s="204">
        <f t="shared" si="0"/>
        <v>0</v>
      </c>
      <c r="R27" s="203"/>
      <c r="S27" s="204">
        <f>IF(R27="",0,IF(ISERROR(R27*Remuneración!$AP28),"",R27*Remuneración!$AP28))</f>
        <v>0</v>
      </c>
      <c r="T27" s="203"/>
      <c r="U27" s="204">
        <f>IF(T27="",0,IF(ISERROR(T27*Remuneración!$AP28),"",T27*Remuneración!$AP28))</f>
        <v>0</v>
      </c>
      <c r="V27" s="203"/>
      <c r="W27" s="204">
        <f>IF(V27="",0,IF(ISERROR(V27*Remuneración!$AP28),"",V27*Remuneración!$AP28))</f>
        <v>0</v>
      </c>
      <c r="X27" s="203"/>
      <c r="Y27" s="204">
        <f>IF(X27="",0,IF(ISERROR(X27*Remuneración!$AP28),"",X27*Remuneración!$AP28))</f>
        <v>0</v>
      </c>
      <c r="Z27" s="191"/>
      <c r="AA27" s="191"/>
      <c r="AB27" s="191"/>
      <c r="AC27" s="206">
        <f t="shared" si="1"/>
        <v>0</v>
      </c>
      <c r="AD27" s="208"/>
      <c r="AE27" s="208"/>
      <c r="AF27" s="208"/>
      <c r="AG27" s="208"/>
      <c r="AH27" s="208"/>
      <c r="AI27" s="208"/>
      <c r="AJ27" s="208"/>
      <c r="AK27" s="208"/>
      <c r="AL27" s="204">
        <f t="shared" si="2"/>
        <v>0</v>
      </c>
      <c r="AM27" s="204">
        <f t="shared" si="3"/>
        <v>0</v>
      </c>
      <c r="AN27" s="204">
        <f>+AM27-AC27+Remuneración!AP28</f>
        <v>0</v>
      </c>
      <c r="AO27" s="204">
        <f t="shared" si="4"/>
        <v>0</v>
      </c>
    </row>
    <row r="28" spans="2:41">
      <c r="B28" s="202" t="str">
        <f>+Remuneración!B29</f>
        <v/>
      </c>
      <c r="C28" s="202" t="str">
        <f>+Remuneración!C29</f>
        <v/>
      </c>
      <c r="D28" s="203"/>
      <c r="E28" s="204">
        <f>IF(D28="",0,IF(ISERROR(D28*Remuneración!$AP29),"",D28*Remuneración!$AP29))</f>
        <v>0</v>
      </c>
      <c r="F28" s="203"/>
      <c r="G28" s="204">
        <f>IF(F28="",0,IF(ISERROR(F28*Remuneración!$AP29),"",F28*Remuneración!$AP29))</f>
        <v>0</v>
      </c>
      <c r="H28" s="203"/>
      <c r="I28" s="204">
        <f>IF(H28="",0,IF(ISERROR(H28*Remuneración!$AP29),"",H28*Remuneración!$AP29))</f>
        <v>0</v>
      </c>
      <c r="J28" s="203"/>
      <c r="K28" s="204">
        <f>IF(J28="",0,IF(ISERROR(J28*Remuneración!$AP29),"",J28*Remuneración!$AP29))</f>
        <v>0</v>
      </c>
      <c r="L28" s="203"/>
      <c r="M28" s="204">
        <f>IF(L28="",0,IF(ISERROR(L28*Remuneración!$AP29),"",L28*Remuneración!$AP29))</f>
        <v>0</v>
      </c>
      <c r="N28" s="203"/>
      <c r="O28" s="204">
        <f t="shared" si="5"/>
        <v>0</v>
      </c>
      <c r="P28" s="203"/>
      <c r="Q28" s="204">
        <f t="shared" si="0"/>
        <v>0</v>
      </c>
      <c r="R28" s="203"/>
      <c r="S28" s="204">
        <f>IF(R28="",0,IF(ISERROR(R28*Remuneración!$AP29),"",R28*Remuneración!$AP29))</f>
        <v>0</v>
      </c>
      <c r="T28" s="203"/>
      <c r="U28" s="204">
        <f>IF(T28="",0,IF(ISERROR(T28*Remuneración!$AP29),"",T28*Remuneración!$AP29))</f>
        <v>0</v>
      </c>
      <c r="V28" s="203"/>
      <c r="W28" s="204">
        <f>IF(V28="",0,IF(ISERROR(V28*Remuneración!$AP29),"",V28*Remuneración!$AP29))</f>
        <v>0</v>
      </c>
      <c r="X28" s="203"/>
      <c r="Y28" s="204">
        <f>IF(X28="",0,IF(ISERROR(X28*Remuneración!$AP29),"",X28*Remuneración!$AP29))</f>
        <v>0</v>
      </c>
      <c r="Z28" s="191"/>
      <c r="AA28" s="191"/>
      <c r="AB28" s="191"/>
      <c r="AC28" s="206">
        <f t="shared" si="1"/>
        <v>0</v>
      </c>
      <c r="AD28" s="208"/>
      <c r="AE28" s="208"/>
      <c r="AF28" s="208"/>
      <c r="AG28" s="208"/>
      <c r="AH28" s="208"/>
      <c r="AI28" s="208"/>
      <c r="AJ28" s="208"/>
      <c r="AK28" s="208"/>
      <c r="AL28" s="204">
        <f t="shared" si="2"/>
        <v>0</v>
      </c>
      <c r="AM28" s="204">
        <f t="shared" si="3"/>
        <v>0</v>
      </c>
      <c r="AN28" s="204">
        <f>+AM28-AC28+Remuneración!AP29</f>
        <v>0</v>
      </c>
      <c r="AO28" s="204">
        <f t="shared" si="4"/>
        <v>0</v>
      </c>
    </row>
    <row r="29" spans="2:41">
      <c r="B29" s="202" t="str">
        <f>+Remuneración!B30</f>
        <v/>
      </c>
      <c r="C29" s="202" t="str">
        <f>+Remuneración!C30</f>
        <v/>
      </c>
      <c r="D29" s="203"/>
      <c r="E29" s="204">
        <f>IF(D29="",0,IF(ISERROR(D29*Remuneración!$AP30),"",D29*Remuneración!$AP30))</f>
        <v>0</v>
      </c>
      <c r="F29" s="203"/>
      <c r="G29" s="204">
        <f>IF(F29="",0,IF(ISERROR(F29*Remuneración!$AP30),"",F29*Remuneración!$AP30))</f>
        <v>0</v>
      </c>
      <c r="H29" s="203"/>
      <c r="I29" s="204">
        <f>IF(H29="",0,IF(ISERROR(H29*Remuneración!$AP30),"",H29*Remuneración!$AP30))</f>
        <v>0</v>
      </c>
      <c r="J29" s="203"/>
      <c r="K29" s="204">
        <f>IF(J29="",0,IF(ISERROR(J29*Remuneración!$AP30),"",J29*Remuneración!$AP30))</f>
        <v>0</v>
      </c>
      <c r="L29" s="203"/>
      <c r="M29" s="204">
        <f>IF(L29="",0,IF(ISERROR(L29*Remuneración!$AP30),"",L29*Remuneración!$AP30))</f>
        <v>0</v>
      </c>
      <c r="N29" s="203"/>
      <c r="O29" s="204">
        <f t="shared" si="5"/>
        <v>0</v>
      </c>
      <c r="P29" s="203"/>
      <c r="Q29" s="204">
        <f t="shared" si="0"/>
        <v>0</v>
      </c>
      <c r="R29" s="203"/>
      <c r="S29" s="204">
        <f>IF(R29="",0,IF(ISERROR(R29*Remuneración!$AP30),"",R29*Remuneración!$AP30))</f>
        <v>0</v>
      </c>
      <c r="T29" s="203"/>
      <c r="U29" s="204">
        <f>IF(T29="",0,IF(ISERROR(T29*Remuneración!$AP30),"",T29*Remuneración!$AP30))</f>
        <v>0</v>
      </c>
      <c r="V29" s="203"/>
      <c r="W29" s="204">
        <f>IF(V29="",0,IF(ISERROR(V29*Remuneración!$AP30),"",V29*Remuneración!$AP30))</f>
        <v>0</v>
      </c>
      <c r="X29" s="203"/>
      <c r="Y29" s="204">
        <f>IF(X29="",0,IF(ISERROR(X29*Remuneración!$AP30),"",X29*Remuneración!$AP30))</f>
        <v>0</v>
      </c>
      <c r="Z29" s="191"/>
      <c r="AA29" s="191"/>
      <c r="AB29" s="191"/>
      <c r="AC29" s="206">
        <f t="shared" si="1"/>
        <v>0</v>
      </c>
      <c r="AD29" s="208"/>
      <c r="AE29" s="208"/>
      <c r="AF29" s="208"/>
      <c r="AG29" s="208"/>
      <c r="AH29" s="208"/>
      <c r="AI29" s="208"/>
      <c r="AJ29" s="208"/>
      <c r="AK29" s="208"/>
      <c r="AL29" s="204">
        <f t="shared" si="2"/>
        <v>0</v>
      </c>
      <c r="AM29" s="204">
        <f t="shared" si="3"/>
        <v>0</v>
      </c>
      <c r="AN29" s="204">
        <f>+AM29-AC29+Remuneración!AP30</f>
        <v>0</v>
      </c>
      <c r="AO29" s="204">
        <f t="shared" si="4"/>
        <v>0</v>
      </c>
    </row>
    <row r="30" spans="2:41">
      <c r="B30" s="202" t="str">
        <f>+Remuneración!B31</f>
        <v/>
      </c>
      <c r="C30" s="202" t="str">
        <f>+Remuneración!C31</f>
        <v/>
      </c>
      <c r="D30" s="203"/>
      <c r="E30" s="204">
        <f>IF(D30="",0,IF(ISERROR(D30*Remuneración!$AP31),"",D30*Remuneración!$AP31))</f>
        <v>0</v>
      </c>
      <c r="F30" s="203"/>
      <c r="G30" s="204">
        <f>IF(F30="",0,IF(ISERROR(F30*Remuneración!$AP31),"",F30*Remuneración!$AP31))</f>
        <v>0</v>
      </c>
      <c r="H30" s="203"/>
      <c r="I30" s="204">
        <f>IF(H30="",0,IF(ISERROR(H30*Remuneración!$AP31),"",H30*Remuneración!$AP31))</f>
        <v>0</v>
      </c>
      <c r="J30" s="203"/>
      <c r="K30" s="204">
        <f>IF(J30="",0,IF(ISERROR(J30*Remuneración!$AP31),"",J30*Remuneración!$AP31))</f>
        <v>0</v>
      </c>
      <c r="L30" s="203"/>
      <c r="M30" s="204">
        <f>IF(L30="",0,IF(ISERROR(L30*Remuneración!$AP31),"",L30*Remuneración!$AP31))</f>
        <v>0</v>
      </c>
      <c r="N30" s="203"/>
      <c r="O30" s="204">
        <f t="shared" si="5"/>
        <v>0</v>
      </c>
      <c r="P30" s="203"/>
      <c r="Q30" s="204">
        <f t="shared" si="0"/>
        <v>0</v>
      </c>
      <c r="R30" s="203"/>
      <c r="S30" s="204">
        <f>IF(R30="",0,IF(ISERROR(R30*Remuneración!$AP31),"",R30*Remuneración!$AP31))</f>
        <v>0</v>
      </c>
      <c r="T30" s="203"/>
      <c r="U30" s="204">
        <f>IF(T30="",0,IF(ISERROR(T30*Remuneración!$AP31),"",T30*Remuneración!$AP31))</f>
        <v>0</v>
      </c>
      <c r="V30" s="203"/>
      <c r="W30" s="204">
        <f>IF(V30="",0,IF(ISERROR(V30*Remuneración!$AP31),"",V30*Remuneración!$AP31))</f>
        <v>0</v>
      </c>
      <c r="X30" s="203"/>
      <c r="Y30" s="204">
        <f>IF(X30="",0,IF(ISERROR(X30*Remuneración!$AP31),"",X30*Remuneración!$AP31))</f>
        <v>0</v>
      </c>
      <c r="Z30" s="191"/>
      <c r="AA30" s="191"/>
      <c r="AB30" s="191"/>
      <c r="AC30" s="206">
        <f t="shared" si="1"/>
        <v>0</v>
      </c>
      <c r="AD30" s="208"/>
      <c r="AE30" s="208"/>
      <c r="AF30" s="208"/>
      <c r="AG30" s="208"/>
      <c r="AH30" s="208"/>
      <c r="AI30" s="208"/>
      <c r="AJ30" s="208"/>
      <c r="AK30" s="208"/>
      <c r="AL30" s="204">
        <f t="shared" si="2"/>
        <v>0</v>
      </c>
      <c r="AM30" s="204">
        <f t="shared" si="3"/>
        <v>0</v>
      </c>
      <c r="AN30" s="204">
        <f>+AM30-AC30+Remuneración!AP31</f>
        <v>0</v>
      </c>
      <c r="AO30" s="204">
        <f t="shared" si="4"/>
        <v>0</v>
      </c>
    </row>
    <row r="31" spans="2:41">
      <c r="B31" s="202" t="str">
        <f>+Remuneración!B32</f>
        <v/>
      </c>
      <c r="C31" s="202" t="str">
        <f>+Remuneración!C32</f>
        <v/>
      </c>
      <c r="D31" s="203"/>
      <c r="E31" s="204">
        <f>IF(D31="",0,IF(ISERROR(D31*Remuneración!$AP32),"",D31*Remuneración!$AP32))</f>
        <v>0</v>
      </c>
      <c r="F31" s="203"/>
      <c r="G31" s="204">
        <f>IF(F31="",0,IF(ISERROR(F31*Remuneración!$AP32),"",F31*Remuneración!$AP32))</f>
        <v>0</v>
      </c>
      <c r="H31" s="203"/>
      <c r="I31" s="204">
        <f>IF(H31="",0,IF(ISERROR(H31*Remuneración!$AP32),"",H31*Remuneración!$AP32))</f>
        <v>0</v>
      </c>
      <c r="J31" s="203"/>
      <c r="K31" s="204">
        <f>IF(J31="",0,IF(ISERROR(J31*Remuneración!$AP32),"",J31*Remuneración!$AP32))</f>
        <v>0</v>
      </c>
      <c r="L31" s="203"/>
      <c r="M31" s="204">
        <f>IF(L31="",0,IF(ISERROR(L31*Remuneración!$AP32),"",L31*Remuneración!$AP32))</f>
        <v>0</v>
      </c>
      <c r="N31" s="203"/>
      <c r="O31" s="204">
        <f t="shared" si="5"/>
        <v>0</v>
      </c>
      <c r="P31" s="203"/>
      <c r="Q31" s="204">
        <f t="shared" si="0"/>
        <v>0</v>
      </c>
      <c r="R31" s="203"/>
      <c r="S31" s="204">
        <f>IF(R31="",0,IF(ISERROR(R31*Remuneración!$AP32),"",R31*Remuneración!$AP32))</f>
        <v>0</v>
      </c>
      <c r="T31" s="203"/>
      <c r="U31" s="204">
        <f>IF(T31="",0,IF(ISERROR(T31*Remuneración!$AP32),"",T31*Remuneración!$AP32))</f>
        <v>0</v>
      </c>
      <c r="V31" s="203"/>
      <c r="W31" s="204">
        <f>IF(V31="",0,IF(ISERROR(V31*Remuneración!$AP32),"",V31*Remuneración!$AP32))</f>
        <v>0</v>
      </c>
      <c r="X31" s="203"/>
      <c r="Y31" s="204">
        <f>IF(X31="",0,IF(ISERROR(X31*Remuneración!$AP32),"",X31*Remuneración!$AP32))</f>
        <v>0</v>
      </c>
      <c r="Z31" s="191"/>
      <c r="AA31" s="191"/>
      <c r="AB31" s="191"/>
      <c r="AC31" s="206">
        <f t="shared" si="1"/>
        <v>0</v>
      </c>
      <c r="AD31" s="208"/>
      <c r="AE31" s="208"/>
      <c r="AF31" s="208"/>
      <c r="AG31" s="208"/>
      <c r="AH31" s="208"/>
      <c r="AI31" s="208"/>
      <c r="AJ31" s="208"/>
      <c r="AK31" s="208"/>
      <c r="AL31" s="204">
        <f t="shared" si="2"/>
        <v>0</v>
      </c>
      <c r="AM31" s="204">
        <f t="shared" si="3"/>
        <v>0</v>
      </c>
      <c r="AN31" s="204">
        <f>+AM31-AC31+Remuneración!AP32</f>
        <v>0</v>
      </c>
      <c r="AO31" s="204">
        <f t="shared" si="4"/>
        <v>0</v>
      </c>
    </row>
    <row r="32" spans="2:41">
      <c r="B32" s="202" t="str">
        <f>+Remuneración!B33</f>
        <v/>
      </c>
      <c r="C32" s="202" t="str">
        <f>+Remuneración!C33</f>
        <v/>
      </c>
      <c r="D32" s="203"/>
      <c r="E32" s="204">
        <f>IF(D32="",0,IF(ISERROR(D32*Remuneración!$AP33),"",D32*Remuneración!$AP33))</f>
        <v>0</v>
      </c>
      <c r="F32" s="203"/>
      <c r="G32" s="204">
        <f>IF(F32="",0,IF(ISERROR(F32*Remuneración!$AP33),"",F32*Remuneración!$AP33))</f>
        <v>0</v>
      </c>
      <c r="H32" s="203"/>
      <c r="I32" s="204">
        <f>IF(H32="",0,IF(ISERROR(H32*Remuneración!$AP33),"",H32*Remuneración!$AP33))</f>
        <v>0</v>
      </c>
      <c r="J32" s="203"/>
      <c r="K32" s="204">
        <f>IF(J32="",0,IF(ISERROR(J32*Remuneración!$AP33),"",J32*Remuneración!$AP33))</f>
        <v>0</v>
      </c>
      <c r="L32" s="203"/>
      <c r="M32" s="204">
        <f>IF(L32="",0,IF(ISERROR(L32*Remuneración!$AP33),"",L32*Remuneración!$AP33))</f>
        <v>0</v>
      </c>
      <c r="N32" s="203"/>
      <c r="O32" s="204">
        <f t="shared" si="5"/>
        <v>0</v>
      </c>
      <c r="P32" s="203"/>
      <c r="Q32" s="204">
        <f t="shared" si="0"/>
        <v>0</v>
      </c>
      <c r="R32" s="203"/>
      <c r="S32" s="204">
        <f>IF(R32="",0,IF(ISERROR(R32*Remuneración!$AP33),"",R32*Remuneración!$AP33))</f>
        <v>0</v>
      </c>
      <c r="T32" s="203"/>
      <c r="U32" s="204">
        <f>IF(T32="",0,IF(ISERROR(T32*Remuneración!$AP33),"",T32*Remuneración!$AP33))</f>
        <v>0</v>
      </c>
      <c r="V32" s="203"/>
      <c r="W32" s="204">
        <f>IF(V32="",0,IF(ISERROR(V32*Remuneración!$AP33),"",V32*Remuneración!$AP33))</f>
        <v>0</v>
      </c>
      <c r="X32" s="203"/>
      <c r="Y32" s="204">
        <f>IF(X32="",0,IF(ISERROR(X32*Remuneración!$AP33),"",X32*Remuneración!$AP33))</f>
        <v>0</v>
      </c>
      <c r="Z32" s="191"/>
      <c r="AA32" s="191"/>
      <c r="AB32" s="191"/>
      <c r="AC32" s="206">
        <f t="shared" si="1"/>
        <v>0</v>
      </c>
      <c r="AD32" s="208"/>
      <c r="AE32" s="208"/>
      <c r="AF32" s="208"/>
      <c r="AG32" s="208"/>
      <c r="AH32" s="208"/>
      <c r="AI32" s="208"/>
      <c r="AJ32" s="208"/>
      <c r="AK32" s="208"/>
      <c r="AL32" s="204">
        <f t="shared" si="2"/>
        <v>0</v>
      </c>
      <c r="AM32" s="204">
        <f t="shared" si="3"/>
        <v>0</v>
      </c>
      <c r="AN32" s="204">
        <f>+AM32-AC32+Remuneración!AP33</f>
        <v>0</v>
      </c>
      <c r="AO32" s="204">
        <f t="shared" si="4"/>
        <v>0</v>
      </c>
    </row>
    <row r="33" spans="2:41">
      <c r="B33" s="202" t="str">
        <f>+Remuneración!B34</f>
        <v/>
      </c>
      <c r="C33" s="202" t="str">
        <f>+Remuneración!C34</f>
        <v/>
      </c>
      <c r="D33" s="203"/>
      <c r="E33" s="204">
        <f>IF(D33="",0,IF(ISERROR(D33*Remuneración!$AP34),"",D33*Remuneración!$AP34))</f>
        <v>0</v>
      </c>
      <c r="F33" s="203"/>
      <c r="G33" s="204">
        <f>IF(F33="",0,IF(ISERROR(F33*Remuneración!$AP34),"",F33*Remuneración!$AP34))</f>
        <v>0</v>
      </c>
      <c r="H33" s="203"/>
      <c r="I33" s="204">
        <f>IF(H33="",0,IF(ISERROR(H33*Remuneración!$AP34),"",H33*Remuneración!$AP34))</f>
        <v>0</v>
      </c>
      <c r="J33" s="203"/>
      <c r="K33" s="204">
        <f>IF(J33="",0,IF(ISERROR(J33*Remuneración!$AP34),"",J33*Remuneración!$AP34))</f>
        <v>0</v>
      </c>
      <c r="L33" s="203"/>
      <c r="M33" s="204">
        <f>IF(L33="",0,IF(ISERROR(L33*Remuneración!$AP34),"",L33*Remuneración!$AP34))</f>
        <v>0</v>
      </c>
      <c r="N33" s="203"/>
      <c r="O33" s="204">
        <f t="shared" si="5"/>
        <v>0</v>
      </c>
      <c r="P33" s="203"/>
      <c r="Q33" s="204">
        <f t="shared" si="0"/>
        <v>0</v>
      </c>
      <c r="R33" s="203"/>
      <c r="S33" s="204">
        <f>IF(R33="",0,IF(ISERROR(R33*Remuneración!$AP34),"",R33*Remuneración!$AP34))</f>
        <v>0</v>
      </c>
      <c r="T33" s="203"/>
      <c r="U33" s="204">
        <f>IF(T33="",0,IF(ISERROR(T33*Remuneración!$AP34),"",T33*Remuneración!$AP34))</f>
        <v>0</v>
      </c>
      <c r="V33" s="203"/>
      <c r="W33" s="204">
        <f>IF(V33="",0,IF(ISERROR(V33*Remuneración!$AP34),"",V33*Remuneración!$AP34))</f>
        <v>0</v>
      </c>
      <c r="X33" s="203"/>
      <c r="Y33" s="204">
        <f>IF(X33="",0,IF(ISERROR(X33*Remuneración!$AP34),"",X33*Remuneración!$AP34))</f>
        <v>0</v>
      </c>
      <c r="Z33" s="191"/>
      <c r="AA33" s="191"/>
      <c r="AB33" s="191"/>
      <c r="AC33" s="206">
        <f t="shared" si="1"/>
        <v>0</v>
      </c>
      <c r="AD33" s="208"/>
      <c r="AE33" s="208"/>
      <c r="AF33" s="208"/>
      <c r="AG33" s="208"/>
      <c r="AH33" s="208"/>
      <c r="AI33" s="208"/>
      <c r="AJ33" s="208"/>
      <c r="AK33" s="208"/>
      <c r="AL33" s="204">
        <f t="shared" si="2"/>
        <v>0</v>
      </c>
      <c r="AM33" s="204">
        <f t="shared" si="3"/>
        <v>0</v>
      </c>
      <c r="AN33" s="204">
        <f>+AM33-AC33+Remuneración!AP34</f>
        <v>0</v>
      </c>
      <c r="AO33" s="204">
        <f t="shared" si="4"/>
        <v>0</v>
      </c>
    </row>
    <row r="34" spans="2:41">
      <c r="B34" s="202" t="str">
        <f>+Remuneración!B35</f>
        <v/>
      </c>
      <c r="C34" s="202" t="str">
        <f>+Remuneración!C35</f>
        <v/>
      </c>
      <c r="D34" s="203"/>
      <c r="E34" s="204">
        <f>IF(D34="",0,IF(ISERROR(D34*Remuneración!$AP35),"",D34*Remuneración!$AP35))</f>
        <v>0</v>
      </c>
      <c r="F34" s="203"/>
      <c r="G34" s="204">
        <f>IF(F34="",0,IF(ISERROR(F34*Remuneración!$AP35),"",F34*Remuneración!$AP35))</f>
        <v>0</v>
      </c>
      <c r="H34" s="203"/>
      <c r="I34" s="204">
        <f>IF(H34="",0,IF(ISERROR(H34*Remuneración!$AP35),"",H34*Remuneración!$AP35))</f>
        <v>0</v>
      </c>
      <c r="J34" s="203"/>
      <c r="K34" s="204">
        <f>IF(J34="",0,IF(ISERROR(J34*Remuneración!$AP35),"",J34*Remuneración!$AP35))</f>
        <v>0</v>
      </c>
      <c r="L34" s="203"/>
      <c r="M34" s="204">
        <f>IF(L34="",0,IF(ISERROR(L34*Remuneración!$AP35),"",L34*Remuneración!$AP35))</f>
        <v>0</v>
      </c>
      <c r="N34" s="203"/>
      <c r="O34" s="204">
        <f t="shared" si="5"/>
        <v>0</v>
      </c>
      <c r="P34" s="203"/>
      <c r="Q34" s="204">
        <f t="shared" si="0"/>
        <v>0</v>
      </c>
      <c r="R34" s="203"/>
      <c r="S34" s="204">
        <f>IF(R34="",0,IF(ISERROR(R34*Remuneración!$AP35),"",R34*Remuneración!$AP35))</f>
        <v>0</v>
      </c>
      <c r="T34" s="203"/>
      <c r="U34" s="204">
        <f>IF(T34="",0,IF(ISERROR(T34*Remuneración!$AP35),"",T34*Remuneración!$AP35))</f>
        <v>0</v>
      </c>
      <c r="V34" s="203"/>
      <c r="W34" s="204">
        <f>IF(V34="",0,IF(ISERROR(V34*Remuneración!$AP35),"",V34*Remuneración!$AP35))</f>
        <v>0</v>
      </c>
      <c r="X34" s="203"/>
      <c r="Y34" s="204">
        <f>IF(X34="",0,IF(ISERROR(X34*Remuneración!$AP35),"",X34*Remuneración!$AP35))</f>
        <v>0</v>
      </c>
      <c r="Z34" s="191"/>
      <c r="AA34" s="191"/>
      <c r="AB34" s="191"/>
      <c r="AC34" s="206">
        <f t="shared" si="1"/>
        <v>0</v>
      </c>
      <c r="AD34" s="208"/>
      <c r="AE34" s="208"/>
      <c r="AF34" s="208"/>
      <c r="AG34" s="208"/>
      <c r="AH34" s="208"/>
      <c r="AI34" s="208"/>
      <c r="AJ34" s="208"/>
      <c r="AK34" s="208"/>
      <c r="AL34" s="204">
        <f t="shared" si="2"/>
        <v>0</v>
      </c>
      <c r="AM34" s="204">
        <f t="shared" si="3"/>
        <v>0</v>
      </c>
      <c r="AN34" s="204">
        <f>+AM34-AC34+Remuneración!AP35</f>
        <v>0</v>
      </c>
      <c r="AO34" s="204">
        <f t="shared" si="4"/>
        <v>0</v>
      </c>
    </row>
    <row r="35" spans="2:41">
      <c r="B35" s="202" t="str">
        <f>+Remuneración!B36</f>
        <v/>
      </c>
      <c r="C35" s="202" t="str">
        <f>+Remuneración!C36</f>
        <v/>
      </c>
      <c r="D35" s="203"/>
      <c r="E35" s="204">
        <f>IF(D35="",0,IF(ISERROR(D35*Remuneración!$AP36),"",D35*Remuneración!$AP36))</f>
        <v>0</v>
      </c>
      <c r="F35" s="203"/>
      <c r="G35" s="204">
        <f>IF(F35="",0,IF(ISERROR(F35*Remuneración!$AP36),"",F35*Remuneración!$AP36))</f>
        <v>0</v>
      </c>
      <c r="H35" s="203"/>
      <c r="I35" s="204">
        <f>IF(H35="",0,IF(ISERROR(H35*Remuneración!$AP36),"",H35*Remuneración!$AP36))</f>
        <v>0</v>
      </c>
      <c r="J35" s="203"/>
      <c r="K35" s="204">
        <f>IF(J35="",0,IF(ISERROR(J35*Remuneración!$AP36),"",J35*Remuneración!$AP36))</f>
        <v>0</v>
      </c>
      <c r="L35" s="203"/>
      <c r="M35" s="204">
        <f>IF(L35="",0,IF(ISERROR(L35*Remuneración!$AP36),"",L35*Remuneración!$AP36))</f>
        <v>0</v>
      </c>
      <c r="N35" s="203"/>
      <c r="O35" s="204">
        <f t="shared" si="5"/>
        <v>0</v>
      </c>
      <c r="P35" s="203"/>
      <c r="Q35" s="204">
        <f t="shared" si="0"/>
        <v>0</v>
      </c>
      <c r="R35" s="203"/>
      <c r="S35" s="204">
        <f>IF(R35="",0,IF(ISERROR(R35*Remuneración!$AP36),"",R35*Remuneración!$AP36))</f>
        <v>0</v>
      </c>
      <c r="T35" s="203"/>
      <c r="U35" s="204">
        <f>IF(T35="",0,IF(ISERROR(T35*Remuneración!$AP36),"",T35*Remuneración!$AP36))</f>
        <v>0</v>
      </c>
      <c r="V35" s="203"/>
      <c r="W35" s="204">
        <f>IF(V35="",0,IF(ISERROR(V35*Remuneración!$AP36),"",V35*Remuneración!$AP36))</f>
        <v>0</v>
      </c>
      <c r="X35" s="203"/>
      <c r="Y35" s="204">
        <f>IF(X35="",0,IF(ISERROR(X35*Remuneración!$AP36),"",X35*Remuneración!$AP36))</f>
        <v>0</v>
      </c>
      <c r="Z35" s="191"/>
      <c r="AA35" s="191"/>
      <c r="AB35" s="191"/>
      <c r="AC35" s="206">
        <f t="shared" si="1"/>
        <v>0</v>
      </c>
      <c r="AD35" s="208"/>
      <c r="AE35" s="208"/>
      <c r="AF35" s="208"/>
      <c r="AG35" s="208"/>
      <c r="AH35" s="208"/>
      <c r="AI35" s="208"/>
      <c r="AJ35" s="208"/>
      <c r="AK35" s="208"/>
      <c r="AL35" s="204">
        <f t="shared" si="2"/>
        <v>0</v>
      </c>
      <c r="AM35" s="204">
        <f t="shared" si="3"/>
        <v>0</v>
      </c>
      <c r="AN35" s="204">
        <f>+AM35-AC35+Remuneración!AP36</f>
        <v>0</v>
      </c>
      <c r="AO35" s="204">
        <f t="shared" si="4"/>
        <v>0</v>
      </c>
    </row>
    <row r="36" spans="2:41">
      <c r="B36" s="202" t="str">
        <f>+Remuneración!B37</f>
        <v/>
      </c>
      <c r="C36" s="202" t="str">
        <f>+Remuneración!C37</f>
        <v/>
      </c>
      <c r="D36" s="203"/>
      <c r="E36" s="204">
        <f>IF(D36="",0,IF(ISERROR(D36*Remuneración!$AP37),"",D36*Remuneración!$AP37))</f>
        <v>0</v>
      </c>
      <c r="F36" s="203"/>
      <c r="G36" s="204">
        <f>IF(F36="",0,IF(ISERROR(F36*Remuneración!$AP37),"",F36*Remuneración!$AP37))</f>
        <v>0</v>
      </c>
      <c r="H36" s="203"/>
      <c r="I36" s="204">
        <f>IF(H36="",0,IF(ISERROR(H36*Remuneración!$AP37),"",H36*Remuneración!$AP37))</f>
        <v>0</v>
      </c>
      <c r="J36" s="203"/>
      <c r="K36" s="204">
        <f>IF(J36="",0,IF(ISERROR(J36*Remuneración!$AP37),"",J36*Remuneración!$AP37))</f>
        <v>0</v>
      </c>
      <c r="L36" s="203"/>
      <c r="M36" s="204">
        <f>IF(L36="",0,IF(ISERROR(L36*Remuneración!$AP37),"",L36*Remuneración!$AP37))</f>
        <v>0</v>
      </c>
      <c r="N36" s="203"/>
      <c r="O36" s="204">
        <f t="shared" si="5"/>
        <v>0</v>
      </c>
      <c r="P36" s="203"/>
      <c r="Q36" s="204">
        <f t="shared" si="0"/>
        <v>0</v>
      </c>
      <c r="R36" s="203"/>
      <c r="S36" s="204">
        <f>IF(R36="",0,IF(ISERROR(R36*Remuneración!$AP37),"",R36*Remuneración!$AP37))</f>
        <v>0</v>
      </c>
      <c r="T36" s="203"/>
      <c r="U36" s="204">
        <f>IF(T36="",0,IF(ISERROR(T36*Remuneración!$AP37),"",T36*Remuneración!$AP37))</f>
        <v>0</v>
      </c>
      <c r="V36" s="203"/>
      <c r="W36" s="204">
        <f>IF(V36="",0,IF(ISERROR(V36*Remuneración!$AP37),"",V36*Remuneración!$AP37))</f>
        <v>0</v>
      </c>
      <c r="X36" s="203"/>
      <c r="Y36" s="204">
        <f>IF(X36="",0,IF(ISERROR(X36*Remuneración!$AP37),"",X36*Remuneración!$AP37))</f>
        <v>0</v>
      </c>
      <c r="Z36" s="191"/>
      <c r="AA36" s="191"/>
      <c r="AB36" s="191"/>
      <c r="AC36" s="206">
        <f t="shared" si="1"/>
        <v>0</v>
      </c>
      <c r="AD36" s="208"/>
      <c r="AE36" s="208"/>
      <c r="AF36" s="208"/>
      <c r="AG36" s="208"/>
      <c r="AH36" s="208"/>
      <c r="AI36" s="208"/>
      <c r="AJ36" s="208"/>
      <c r="AK36" s="208"/>
      <c r="AL36" s="204">
        <f t="shared" si="2"/>
        <v>0</v>
      </c>
      <c r="AM36" s="204">
        <f t="shared" si="3"/>
        <v>0</v>
      </c>
      <c r="AN36" s="204">
        <f>+AM36-AC36+Remuneración!AP37</f>
        <v>0</v>
      </c>
      <c r="AO36" s="204">
        <f t="shared" si="4"/>
        <v>0</v>
      </c>
    </row>
    <row r="37" spans="2:41">
      <c r="B37" s="202" t="str">
        <f>+Remuneración!B38</f>
        <v/>
      </c>
      <c r="C37" s="202" t="str">
        <f>+Remuneración!C38</f>
        <v/>
      </c>
      <c r="D37" s="203"/>
      <c r="E37" s="204">
        <f>IF(D37="",0,IF(ISERROR(D37*Remuneración!$AP38),"",D37*Remuneración!$AP38))</f>
        <v>0</v>
      </c>
      <c r="F37" s="203"/>
      <c r="G37" s="204">
        <f>IF(F37="",0,IF(ISERROR(F37*Remuneración!$AP38),"",F37*Remuneración!$AP38))</f>
        <v>0</v>
      </c>
      <c r="H37" s="203"/>
      <c r="I37" s="204">
        <f>IF(H37="",0,IF(ISERROR(H37*Remuneración!$AP38),"",H37*Remuneración!$AP38))</f>
        <v>0</v>
      </c>
      <c r="J37" s="203"/>
      <c r="K37" s="204">
        <f>IF(J37="",0,IF(ISERROR(J37*Remuneración!$AP38),"",J37*Remuneración!$AP38))</f>
        <v>0</v>
      </c>
      <c r="L37" s="203"/>
      <c r="M37" s="204">
        <f>IF(L37="",0,IF(ISERROR(L37*Remuneración!$AP38),"",L37*Remuneración!$AP38))</f>
        <v>0</v>
      </c>
      <c r="N37" s="203"/>
      <c r="O37" s="204">
        <f t="shared" si="5"/>
        <v>0</v>
      </c>
      <c r="P37" s="203"/>
      <c r="Q37" s="204">
        <f t="shared" si="0"/>
        <v>0</v>
      </c>
      <c r="R37" s="203"/>
      <c r="S37" s="204">
        <f>IF(R37="",0,IF(ISERROR(R37*Remuneración!$AP38),"",R37*Remuneración!$AP38))</f>
        <v>0</v>
      </c>
      <c r="T37" s="203"/>
      <c r="U37" s="204">
        <f>IF(T37="",0,IF(ISERROR(T37*Remuneración!$AP38),"",T37*Remuneración!$AP38))</f>
        <v>0</v>
      </c>
      <c r="V37" s="203"/>
      <c r="W37" s="204">
        <f>IF(V37="",0,IF(ISERROR(V37*Remuneración!$AP38),"",V37*Remuneración!$AP38))</f>
        <v>0</v>
      </c>
      <c r="X37" s="203"/>
      <c r="Y37" s="204">
        <f>IF(X37="",0,IF(ISERROR(X37*Remuneración!$AP38),"",X37*Remuneración!$AP38))</f>
        <v>0</v>
      </c>
      <c r="Z37" s="191"/>
      <c r="AA37" s="191"/>
      <c r="AB37" s="191"/>
      <c r="AC37" s="206">
        <f t="shared" si="1"/>
        <v>0</v>
      </c>
      <c r="AD37" s="208"/>
      <c r="AE37" s="208"/>
      <c r="AF37" s="208"/>
      <c r="AG37" s="208"/>
      <c r="AH37" s="208"/>
      <c r="AI37" s="208"/>
      <c r="AJ37" s="208"/>
      <c r="AK37" s="208"/>
      <c r="AL37" s="204">
        <f t="shared" si="2"/>
        <v>0</v>
      </c>
      <c r="AM37" s="204">
        <f t="shared" si="3"/>
        <v>0</v>
      </c>
      <c r="AN37" s="204">
        <f>+AM37-AC37+Remuneración!AP38</f>
        <v>0</v>
      </c>
      <c r="AO37" s="204">
        <f t="shared" si="4"/>
        <v>0</v>
      </c>
    </row>
    <row r="38" spans="2:41">
      <c r="B38" s="202" t="str">
        <f>+Remuneración!B39</f>
        <v/>
      </c>
      <c r="C38" s="202" t="str">
        <f>+Remuneración!C39</f>
        <v/>
      </c>
      <c r="D38" s="203"/>
      <c r="E38" s="204">
        <f>IF(D38="",0,IF(ISERROR(D38*Remuneración!$AP39),"",D38*Remuneración!$AP39))</f>
        <v>0</v>
      </c>
      <c r="F38" s="203"/>
      <c r="G38" s="204">
        <f>IF(F38="",0,IF(ISERROR(F38*Remuneración!$AP39),"",F38*Remuneración!$AP39))</f>
        <v>0</v>
      </c>
      <c r="H38" s="203"/>
      <c r="I38" s="204">
        <f>IF(H38="",0,IF(ISERROR(H38*Remuneración!$AP39),"",H38*Remuneración!$AP39))</f>
        <v>0</v>
      </c>
      <c r="J38" s="203"/>
      <c r="K38" s="204">
        <f>IF(J38="",0,IF(ISERROR(J38*Remuneración!$AP39),"",J38*Remuneración!$AP39))</f>
        <v>0</v>
      </c>
      <c r="L38" s="203"/>
      <c r="M38" s="204">
        <f>IF(L38="",0,IF(ISERROR(L38*Remuneración!$AP39),"",L38*Remuneración!$AP39))</f>
        <v>0</v>
      </c>
      <c r="N38" s="203"/>
      <c r="O38" s="204">
        <f t="shared" si="5"/>
        <v>0</v>
      </c>
      <c r="P38" s="203"/>
      <c r="Q38" s="204">
        <f t="shared" si="0"/>
        <v>0</v>
      </c>
      <c r="R38" s="203"/>
      <c r="S38" s="204">
        <f>IF(R38="",0,IF(ISERROR(R38*Remuneración!$AP39),"",R38*Remuneración!$AP39))</f>
        <v>0</v>
      </c>
      <c r="T38" s="203"/>
      <c r="U38" s="204">
        <f>IF(T38="",0,IF(ISERROR(T38*Remuneración!$AP39),"",T38*Remuneración!$AP39))</f>
        <v>0</v>
      </c>
      <c r="V38" s="203"/>
      <c r="W38" s="204">
        <f>IF(V38="",0,IF(ISERROR(V38*Remuneración!$AP39),"",V38*Remuneración!$AP39))</f>
        <v>0</v>
      </c>
      <c r="X38" s="203"/>
      <c r="Y38" s="204">
        <f>IF(X38="",0,IF(ISERROR(X38*Remuneración!$AP39),"",X38*Remuneración!$AP39))</f>
        <v>0</v>
      </c>
      <c r="Z38" s="191"/>
      <c r="AA38" s="191"/>
      <c r="AB38" s="191"/>
      <c r="AC38" s="206">
        <f t="shared" si="1"/>
        <v>0</v>
      </c>
      <c r="AD38" s="208"/>
      <c r="AE38" s="208"/>
      <c r="AF38" s="208"/>
      <c r="AG38" s="208"/>
      <c r="AH38" s="208"/>
      <c r="AI38" s="208"/>
      <c r="AJ38" s="208"/>
      <c r="AK38" s="208"/>
      <c r="AL38" s="204">
        <f t="shared" si="2"/>
        <v>0</v>
      </c>
      <c r="AM38" s="204">
        <f t="shared" si="3"/>
        <v>0</v>
      </c>
      <c r="AN38" s="204">
        <f>+AM38-AC38+Remuneración!AP39</f>
        <v>0</v>
      </c>
      <c r="AO38" s="204">
        <f t="shared" si="4"/>
        <v>0</v>
      </c>
    </row>
    <row r="39" spans="2:41">
      <c r="B39" s="202" t="str">
        <f>+Remuneración!B40</f>
        <v/>
      </c>
      <c r="C39" s="202" t="str">
        <f>+Remuneración!C40</f>
        <v/>
      </c>
      <c r="D39" s="203"/>
      <c r="E39" s="204">
        <f>IF(D39="",0,IF(ISERROR(D39*Remuneración!$AP40),"",D39*Remuneración!$AP40))</f>
        <v>0</v>
      </c>
      <c r="F39" s="203"/>
      <c r="G39" s="204">
        <f>IF(F39="",0,IF(ISERROR(F39*Remuneración!$AP40),"",F39*Remuneración!$AP40))</f>
        <v>0</v>
      </c>
      <c r="H39" s="203"/>
      <c r="I39" s="204">
        <f>IF(H39="",0,IF(ISERROR(H39*Remuneración!$AP40),"",H39*Remuneración!$AP40))</f>
        <v>0</v>
      </c>
      <c r="J39" s="203"/>
      <c r="K39" s="204">
        <f>IF(J39="",0,IF(ISERROR(J39*Remuneración!$AP40),"",J39*Remuneración!$AP40))</f>
        <v>0</v>
      </c>
      <c r="L39" s="203"/>
      <c r="M39" s="204">
        <f>IF(L39="",0,IF(ISERROR(L39*Remuneración!$AP40),"",L39*Remuneración!$AP40))</f>
        <v>0</v>
      </c>
      <c r="N39" s="203"/>
      <c r="O39" s="204">
        <f t="shared" si="5"/>
        <v>0</v>
      </c>
      <c r="P39" s="203"/>
      <c r="Q39" s="204">
        <f t="shared" si="0"/>
        <v>0</v>
      </c>
      <c r="R39" s="203"/>
      <c r="S39" s="204">
        <f>IF(R39="",0,IF(ISERROR(R39*Remuneración!$AP40),"",R39*Remuneración!$AP40))</f>
        <v>0</v>
      </c>
      <c r="T39" s="203"/>
      <c r="U39" s="204">
        <f>IF(T39="",0,IF(ISERROR(T39*Remuneración!$AP40),"",T39*Remuneración!$AP40))</f>
        <v>0</v>
      </c>
      <c r="V39" s="203"/>
      <c r="W39" s="204">
        <f>IF(V39="",0,IF(ISERROR(V39*Remuneración!$AP40),"",V39*Remuneración!$AP40))</f>
        <v>0</v>
      </c>
      <c r="X39" s="203"/>
      <c r="Y39" s="204">
        <f>IF(X39="",0,IF(ISERROR(X39*Remuneración!$AP40),"",X39*Remuneración!$AP40))</f>
        <v>0</v>
      </c>
      <c r="Z39" s="191"/>
      <c r="AA39" s="191"/>
      <c r="AB39" s="191"/>
      <c r="AC39" s="206">
        <f t="shared" si="1"/>
        <v>0</v>
      </c>
      <c r="AD39" s="208"/>
      <c r="AE39" s="208"/>
      <c r="AF39" s="208"/>
      <c r="AG39" s="208"/>
      <c r="AH39" s="208"/>
      <c r="AI39" s="208"/>
      <c r="AJ39" s="208"/>
      <c r="AK39" s="208"/>
      <c r="AL39" s="204">
        <f t="shared" si="2"/>
        <v>0</v>
      </c>
      <c r="AM39" s="204">
        <f t="shared" si="3"/>
        <v>0</v>
      </c>
      <c r="AN39" s="204">
        <f>+AM39-AC39+Remuneración!AP40</f>
        <v>0</v>
      </c>
      <c r="AO39" s="204">
        <f t="shared" si="4"/>
        <v>0</v>
      </c>
    </row>
    <row r="40" spans="2:41">
      <c r="B40" s="202" t="str">
        <f>+Remuneración!B41</f>
        <v/>
      </c>
      <c r="C40" s="202" t="str">
        <f>+Remuneración!C41</f>
        <v/>
      </c>
      <c r="D40" s="203"/>
      <c r="E40" s="204">
        <f>IF(D40="",0,IF(ISERROR(D40*Remuneración!$AP41),"",D40*Remuneración!$AP41))</f>
        <v>0</v>
      </c>
      <c r="F40" s="203"/>
      <c r="G40" s="204">
        <f>IF(F40="",0,IF(ISERROR(F40*Remuneración!$AP41),"",F40*Remuneración!$AP41))</f>
        <v>0</v>
      </c>
      <c r="H40" s="203"/>
      <c r="I40" s="204">
        <f>IF(H40="",0,IF(ISERROR(H40*Remuneración!$AP41),"",H40*Remuneración!$AP41))</f>
        <v>0</v>
      </c>
      <c r="J40" s="203"/>
      <c r="K40" s="204">
        <f>IF(J40="",0,IF(ISERROR(J40*Remuneración!$AP41),"",J40*Remuneración!$AP41))</f>
        <v>0</v>
      </c>
      <c r="L40" s="203"/>
      <c r="M40" s="204">
        <f>IF(L40="",0,IF(ISERROR(L40*Remuneración!$AP41),"",L40*Remuneración!$AP41))</f>
        <v>0</v>
      </c>
      <c r="N40" s="203"/>
      <c r="O40" s="204">
        <f t="shared" ref="O40:O56" si="6">IF(N40="",0,IF(ISERROR(N40*$AE40),"",N40*$AE40))</f>
        <v>0</v>
      </c>
      <c r="P40" s="203"/>
      <c r="Q40" s="204">
        <f t="shared" ref="Q40:Q56" si="7">IF(P40="",0,IF(ISERROR(P40*$AE40),"",P40*$AE40))</f>
        <v>0</v>
      </c>
      <c r="R40" s="203"/>
      <c r="S40" s="204">
        <f>IF(R40="",0,IF(ISERROR(R40*Remuneración!$AP41),"",R40*Remuneración!$AP41))</f>
        <v>0</v>
      </c>
      <c r="T40" s="203"/>
      <c r="U40" s="204">
        <f>IF(T40="",0,IF(ISERROR(T40*Remuneración!$AP41),"",T40*Remuneración!$AP41))</f>
        <v>0</v>
      </c>
      <c r="V40" s="203"/>
      <c r="W40" s="204">
        <f>IF(V40="",0,IF(ISERROR(V40*Remuneración!$AP41),"",V40*Remuneración!$AP41))</f>
        <v>0</v>
      </c>
      <c r="X40" s="203"/>
      <c r="Y40" s="204">
        <f>IF(X40="",0,IF(ISERROR(X40*Remuneración!$AP41),"",X40*Remuneración!$AP41))</f>
        <v>0</v>
      </c>
      <c r="Z40" s="191"/>
      <c r="AA40" s="191"/>
      <c r="AB40" s="191"/>
      <c r="AC40" s="206">
        <f t="shared" si="1"/>
        <v>0</v>
      </c>
      <c r="AD40" s="208"/>
      <c r="AE40" s="208"/>
      <c r="AF40" s="208"/>
      <c r="AG40" s="208"/>
      <c r="AH40" s="208"/>
      <c r="AI40" s="208"/>
      <c r="AJ40" s="208"/>
      <c r="AK40" s="208"/>
      <c r="AL40" s="204">
        <f t="shared" si="2"/>
        <v>0</v>
      </c>
      <c r="AM40" s="204">
        <f t="shared" si="3"/>
        <v>0</v>
      </c>
      <c r="AN40" s="204">
        <f>+AM40-AC40+Remuneración!AP41</f>
        <v>0</v>
      </c>
      <c r="AO40" s="204">
        <f t="shared" si="4"/>
        <v>0</v>
      </c>
    </row>
    <row r="41" spans="2:41">
      <c r="B41" s="202" t="str">
        <f>+Remuneración!B42</f>
        <v/>
      </c>
      <c r="C41" s="202" t="str">
        <f>+Remuneración!C42</f>
        <v/>
      </c>
      <c r="D41" s="203"/>
      <c r="E41" s="204">
        <f>IF(D41="",0,IF(ISERROR(D41*Remuneración!$AP42),"",D41*Remuneración!$AP42))</f>
        <v>0</v>
      </c>
      <c r="F41" s="203"/>
      <c r="G41" s="204">
        <f>IF(F41="",0,IF(ISERROR(F41*Remuneración!$AP42),"",F41*Remuneración!$AP42))</f>
        <v>0</v>
      </c>
      <c r="H41" s="203"/>
      <c r="I41" s="204">
        <f>IF(H41="",0,IF(ISERROR(H41*Remuneración!$AP42),"",H41*Remuneración!$AP42))</f>
        <v>0</v>
      </c>
      <c r="J41" s="203"/>
      <c r="K41" s="204">
        <f>IF(J41="",0,IF(ISERROR(J41*Remuneración!$AP42),"",J41*Remuneración!$AP42))</f>
        <v>0</v>
      </c>
      <c r="L41" s="203"/>
      <c r="M41" s="204">
        <f>IF(L41="",0,IF(ISERROR(L41*Remuneración!$AP42),"",L41*Remuneración!$AP42))</f>
        <v>0</v>
      </c>
      <c r="N41" s="203"/>
      <c r="O41" s="204">
        <f t="shared" si="6"/>
        <v>0</v>
      </c>
      <c r="P41" s="203"/>
      <c r="Q41" s="204">
        <f t="shared" si="7"/>
        <v>0</v>
      </c>
      <c r="R41" s="203"/>
      <c r="S41" s="204">
        <f>IF(R41="",0,IF(ISERROR(R41*Remuneración!$AP42),"",R41*Remuneración!$AP42))</f>
        <v>0</v>
      </c>
      <c r="T41" s="203"/>
      <c r="U41" s="204">
        <f>IF(T41="",0,IF(ISERROR(T41*Remuneración!$AP42),"",T41*Remuneración!$AP42))</f>
        <v>0</v>
      </c>
      <c r="V41" s="203"/>
      <c r="W41" s="204">
        <f>IF(V41="",0,IF(ISERROR(V41*Remuneración!$AP42),"",V41*Remuneración!$AP42))</f>
        <v>0</v>
      </c>
      <c r="X41" s="203"/>
      <c r="Y41" s="204">
        <f>IF(X41="",0,IF(ISERROR(X41*Remuneración!$AP42),"",X41*Remuneración!$AP42))</f>
        <v>0</v>
      </c>
      <c r="Z41" s="191"/>
      <c r="AA41" s="191"/>
      <c r="AB41" s="191"/>
      <c r="AC41" s="206">
        <f t="shared" si="1"/>
        <v>0</v>
      </c>
      <c r="AD41" s="208"/>
      <c r="AE41" s="208"/>
      <c r="AF41" s="208"/>
      <c r="AG41" s="208"/>
      <c r="AH41" s="208"/>
      <c r="AI41" s="208"/>
      <c r="AJ41" s="208"/>
      <c r="AK41" s="208"/>
      <c r="AL41" s="204">
        <f t="shared" si="2"/>
        <v>0</v>
      </c>
      <c r="AM41" s="204">
        <f t="shared" si="3"/>
        <v>0</v>
      </c>
      <c r="AN41" s="204">
        <f>+AM41-AC41+Remuneración!AP42</f>
        <v>0</v>
      </c>
      <c r="AO41" s="204">
        <f t="shared" si="4"/>
        <v>0</v>
      </c>
    </row>
    <row r="42" spans="2:41">
      <c r="B42" s="202" t="str">
        <f>+Remuneración!B43</f>
        <v/>
      </c>
      <c r="C42" s="202" t="str">
        <f>+Remuneración!C43</f>
        <v/>
      </c>
      <c r="D42" s="203"/>
      <c r="E42" s="204">
        <f>IF(D42="",0,IF(ISERROR(D42*Remuneración!$AP43),"",D42*Remuneración!$AP43))</f>
        <v>0</v>
      </c>
      <c r="F42" s="203"/>
      <c r="G42" s="204">
        <f>IF(F42="",0,IF(ISERROR(F42*Remuneración!$AP43),"",F42*Remuneración!$AP43))</f>
        <v>0</v>
      </c>
      <c r="H42" s="203"/>
      <c r="I42" s="204">
        <f>IF(H42="",0,IF(ISERROR(H42*Remuneración!$AP43),"",H42*Remuneración!$AP43))</f>
        <v>0</v>
      </c>
      <c r="J42" s="203"/>
      <c r="K42" s="204">
        <f>IF(J42="",0,IF(ISERROR(J42*Remuneración!$AP43),"",J42*Remuneración!$AP43))</f>
        <v>0</v>
      </c>
      <c r="L42" s="203"/>
      <c r="M42" s="204">
        <f>IF(L42="",0,IF(ISERROR(L42*Remuneración!$AP43),"",L42*Remuneración!$AP43))</f>
        <v>0</v>
      </c>
      <c r="N42" s="203"/>
      <c r="O42" s="204">
        <f t="shared" si="6"/>
        <v>0</v>
      </c>
      <c r="P42" s="203"/>
      <c r="Q42" s="204">
        <f t="shared" si="7"/>
        <v>0</v>
      </c>
      <c r="R42" s="203"/>
      <c r="S42" s="204">
        <f>IF(R42="",0,IF(ISERROR(R42*Remuneración!$AP43),"",R42*Remuneración!$AP43))</f>
        <v>0</v>
      </c>
      <c r="T42" s="203"/>
      <c r="U42" s="204">
        <f>IF(T42="",0,IF(ISERROR(T42*Remuneración!$AP43),"",T42*Remuneración!$AP43))</f>
        <v>0</v>
      </c>
      <c r="V42" s="203"/>
      <c r="W42" s="204">
        <f>IF(V42="",0,IF(ISERROR(V42*Remuneración!$AP43),"",V42*Remuneración!$AP43))</f>
        <v>0</v>
      </c>
      <c r="X42" s="203"/>
      <c r="Y42" s="204">
        <f>IF(X42="",0,IF(ISERROR(X42*Remuneración!$AP43),"",X42*Remuneración!$AP43))</f>
        <v>0</v>
      </c>
      <c r="Z42" s="191"/>
      <c r="AA42" s="191"/>
      <c r="AB42" s="191"/>
      <c r="AC42" s="206">
        <f t="shared" si="1"/>
        <v>0</v>
      </c>
      <c r="AD42" s="208"/>
      <c r="AE42" s="208"/>
      <c r="AF42" s="208"/>
      <c r="AG42" s="208"/>
      <c r="AH42" s="208"/>
      <c r="AI42" s="208"/>
      <c r="AJ42" s="208"/>
      <c r="AK42" s="208"/>
      <c r="AL42" s="204">
        <f t="shared" si="2"/>
        <v>0</v>
      </c>
      <c r="AM42" s="204">
        <f t="shared" si="3"/>
        <v>0</v>
      </c>
      <c r="AN42" s="204">
        <f>+AM42-AC42+Remuneración!AP43</f>
        <v>0</v>
      </c>
      <c r="AO42" s="204">
        <f t="shared" si="4"/>
        <v>0</v>
      </c>
    </row>
    <row r="43" spans="2:41">
      <c r="B43" s="202" t="str">
        <f>+Remuneración!B44</f>
        <v/>
      </c>
      <c r="C43" s="202" t="str">
        <f>+Remuneración!C44</f>
        <v/>
      </c>
      <c r="D43" s="203"/>
      <c r="E43" s="204">
        <f>IF(D43="",0,IF(ISERROR(D43*Remuneración!$AP44),"",D43*Remuneración!$AP44))</f>
        <v>0</v>
      </c>
      <c r="F43" s="203"/>
      <c r="G43" s="204">
        <f>IF(F43="",0,IF(ISERROR(F43*Remuneración!$AP44),"",F43*Remuneración!$AP44))</f>
        <v>0</v>
      </c>
      <c r="H43" s="203"/>
      <c r="I43" s="204">
        <f>IF(H43="",0,IF(ISERROR(H43*Remuneración!$AP44),"",H43*Remuneración!$AP44))</f>
        <v>0</v>
      </c>
      <c r="J43" s="203"/>
      <c r="K43" s="204">
        <f>IF(J43="",0,IF(ISERROR(J43*Remuneración!$AP44),"",J43*Remuneración!$AP44))</f>
        <v>0</v>
      </c>
      <c r="L43" s="203"/>
      <c r="M43" s="204">
        <f>IF(L43="",0,IF(ISERROR(L43*Remuneración!$AP44),"",L43*Remuneración!$AP44))</f>
        <v>0</v>
      </c>
      <c r="N43" s="203"/>
      <c r="O43" s="204">
        <f t="shared" si="6"/>
        <v>0</v>
      </c>
      <c r="P43" s="203"/>
      <c r="Q43" s="204">
        <f t="shared" si="7"/>
        <v>0</v>
      </c>
      <c r="R43" s="203"/>
      <c r="S43" s="204">
        <f>IF(R43="",0,IF(ISERROR(R43*Remuneración!$AP44),"",R43*Remuneración!$AP44))</f>
        <v>0</v>
      </c>
      <c r="T43" s="203"/>
      <c r="U43" s="204">
        <f>IF(T43="",0,IF(ISERROR(T43*Remuneración!$AP44),"",T43*Remuneración!$AP44))</f>
        <v>0</v>
      </c>
      <c r="V43" s="203"/>
      <c r="W43" s="204">
        <f>IF(V43="",0,IF(ISERROR(V43*Remuneración!$AP44),"",V43*Remuneración!$AP44))</f>
        <v>0</v>
      </c>
      <c r="X43" s="203"/>
      <c r="Y43" s="204">
        <f>IF(X43="",0,IF(ISERROR(X43*Remuneración!$AP44),"",X43*Remuneración!$AP44))</f>
        <v>0</v>
      </c>
      <c r="Z43" s="191"/>
      <c r="AA43" s="191"/>
      <c r="AB43" s="191"/>
      <c r="AC43" s="206">
        <f t="shared" si="1"/>
        <v>0</v>
      </c>
      <c r="AD43" s="208"/>
      <c r="AE43" s="208"/>
      <c r="AF43" s="208"/>
      <c r="AG43" s="208"/>
      <c r="AH43" s="208"/>
      <c r="AI43" s="208"/>
      <c r="AJ43" s="208"/>
      <c r="AK43" s="208"/>
      <c r="AL43" s="204">
        <f t="shared" si="2"/>
        <v>0</v>
      </c>
      <c r="AM43" s="204">
        <f t="shared" si="3"/>
        <v>0</v>
      </c>
      <c r="AN43" s="204">
        <f>+AM43-AC43+Remuneración!AP44</f>
        <v>0</v>
      </c>
      <c r="AO43" s="204">
        <f t="shared" si="4"/>
        <v>0</v>
      </c>
    </row>
    <row r="44" spans="2:41">
      <c r="B44" s="202" t="str">
        <f>+Remuneración!B45</f>
        <v/>
      </c>
      <c r="C44" s="202" t="str">
        <f>+Remuneración!C45</f>
        <v/>
      </c>
      <c r="D44" s="203"/>
      <c r="E44" s="204">
        <f>IF(D44="",0,IF(ISERROR(D44*Remuneración!$AP45),"",D44*Remuneración!$AP45))</f>
        <v>0</v>
      </c>
      <c r="F44" s="203"/>
      <c r="G44" s="204">
        <f>IF(F44="",0,IF(ISERROR(F44*Remuneración!$AP45),"",F44*Remuneración!$AP45))</f>
        <v>0</v>
      </c>
      <c r="H44" s="203"/>
      <c r="I44" s="204">
        <f>IF(H44="",0,IF(ISERROR(H44*Remuneración!$AP45),"",H44*Remuneración!$AP45))</f>
        <v>0</v>
      </c>
      <c r="J44" s="203"/>
      <c r="K44" s="204">
        <f>IF(J44="",0,IF(ISERROR(J44*Remuneración!$AP45),"",J44*Remuneración!$AP45))</f>
        <v>0</v>
      </c>
      <c r="L44" s="203"/>
      <c r="M44" s="204">
        <f>IF(L44="",0,IF(ISERROR(L44*Remuneración!$AP45),"",L44*Remuneración!$AP45))</f>
        <v>0</v>
      </c>
      <c r="N44" s="203"/>
      <c r="O44" s="204">
        <f t="shared" si="6"/>
        <v>0</v>
      </c>
      <c r="P44" s="203"/>
      <c r="Q44" s="204">
        <f t="shared" si="7"/>
        <v>0</v>
      </c>
      <c r="R44" s="203"/>
      <c r="S44" s="204">
        <f>IF(R44="",0,IF(ISERROR(R44*Remuneración!$AP45),"",R44*Remuneración!$AP45))</f>
        <v>0</v>
      </c>
      <c r="T44" s="203"/>
      <c r="U44" s="204">
        <f>IF(T44="",0,IF(ISERROR(T44*Remuneración!$AP45),"",T44*Remuneración!$AP45))</f>
        <v>0</v>
      </c>
      <c r="V44" s="203"/>
      <c r="W44" s="204">
        <f>IF(V44="",0,IF(ISERROR(V44*Remuneración!$AP45),"",V44*Remuneración!$AP45))</f>
        <v>0</v>
      </c>
      <c r="X44" s="203"/>
      <c r="Y44" s="204">
        <f>IF(X44="",0,IF(ISERROR(X44*Remuneración!$AP45),"",X44*Remuneración!$AP45))</f>
        <v>0</v>
      </c>
      <c r="Z44" s="191"/>
      <c r="AA44" s="191"/>
      <c r="AB44" s="191"/>
      <c r="AC44" s="206">
        <f t="shared" si="1"/>
        <v>0</v>
      </c>
      <c r="AD44" s="208"/>
      <c r="AE44" s="208"/>
      <c r="AF44" s="208"/>
      <c r="AG44" s="208"/>
      <c r="AH44" s="208"/>
      <c r="AI44" s="208"/>
      <c r="AJ44" s="208"/>
      <c r="AK44" s="208"/>
      <c r="AL44" s="204">
        <f t="shared" si="2"/>
        <v>0</v>
      </c>
      <c r="AM44" s="204">
        <f t="shared" si="3"/>
        <v>0</v>
      </c>
      <c r="AN44" s="204">
        <f>+AM44-AC44+Remuneración!AP45</f>
        <v>0</v>
      </c>
      <c r="AO44" s="204">
        <f t="shared" si="4"/>
        <v>0</v>
      </c>
    </row>
    <row r="45" spans="2:41">
      <c r="B45" s="202" t="str">
        <f>+Remuneración!B46</f>
        <v/>
      </c>
      <c r="C45" s="202" t="str">
        <f>+Remuneración!C46</f>
        <v/>
      </c>
      <c r="D45" s="203"/>
      <c r="E45" s="204">
        <f>IF(D45="",0,IF(ISERROR(D45*Remuneración!$AP46),"",D45*Remuneración!$AP46))</f>
        <v>0</v>
      </c>
      <c r="F45" s="203"/>
      <c r="G45" s="204">
        <f>IF(F45="",0,IF(ISERROR(F45*Remuneración!$AP46),"",F45*Remuneración!$AP46))</f>
        <v>0</v>
      </c>
      <c r="H45" s="203"/>
      <c r="I45" s="204">
        <f>IF(H45="",0,IF(ISERROR(H45*Remuneración!$AP46),"",H45*Remuneración!$AP46))</f>
        <v>0</v>
      </c>
      <c r="J45" s="203"/>
      <c r="K45" s="204">
        <f>IF(J45="",0,IF(ISERROR(J45*Remuneración!$AP46),"",J45*Remuneración!$AP46))</f>
        <v>0</v>
      </c>
      <c r="L45" s="203"/>
      <c r="M45" s="204">
        <f>IF(L45="",0,IF(ISERROR(L45*Remuneración!$AP46),"",L45*Remuneración!$AP46))</f>
        <v>0</v>
      </c>
      <c r="N45" s="203"/>
      <c r="O45" s="204">
        <f t="shared" si="6"/>
        <v>0</v>
      </c>
      <c r="P45" s="203"/>
      <c r="Q45" s="204">
        <f t="shared" si="7"/>
        <v>0</v>
      </c>
      <c r="R45" s="203"/>
      <c r="S45" s="204">
        <f>IF(R45="",0,IF(ISERROR(R45*Remuneración!$AP46),"",R45*Remuneración!$AP46))</f>
        <v>0</v>
      </c>
      <c r="T45" s="203"/>
      <c r="U45" s="204">
        <f>IF(T45="",0,IF(ISERROR(T45*Remuneración!$AP46),"",T45*Remuneración!$AP46))</f>
        <v>0</v>
      </c>
      <c r="V45" s="203"/>
      <c r="W45" s="204">
        <f>IF(V45="",0,IF(ISERROR(V45*Remuneración!$AP46),"",V45*Remuneración!$AP46))</f>
        <v>0</v>
      </c>
      <c r="X45" s="203"/>
      <c r="Y45" s="204">
        <f>IF(X45="",0,IF(ISERROR(X45*Remuneración!$AP46),"",X45*Remuneración!$AP46))</f>
        <v>0</v>
      </c>
      <c r="Z45" s="191"/>
      <c r="AA45" s="191"/>
      <c r="AB45" s="191"/>
      <c r="AC45" s="206">
        <f t="shared" si="1"/>
        <v>0</v>
      </c>
      <c r="AD45" s="208"/>
      <c r="AE45" s="208"/>
      <c r="AF45" s="208"/>
      <c r="AG45" s="208"/>
      <c r="AH45" s="208"/>
      <c r="AI45" s="208"/>
      <c r="AJ45" s="208"/>
      <c r="AK45" s="208"/>
      <c r="AL45" s="204">
        <f t="shared" si="2"/>
        <v>0</v>
      </c>
      <c r="AM45" s="204">
        <f t="shared" si="3"/>
        <v>0</v>
      </c>
      <c r="AN45" s="204">
        <f>+AM45-AC45+Remuneración!AP46</f>
        <v>0</v>
      </c>
      <c r="AO45" s="204">
        <f t="shared" si="4"/>
        <v>0</v>
      </c>
    </row>
    <row r="46" spans="2:41">
      <c r="B46" s="202" t="str">
        <f>+Remuneración!B47</f>
        <v/>
      </c>
      <c r="C46" s="202" t="str">
        <f>+Remuneración!C47</f>
        <v/>
      </c>
      <c r="D46" s="203"/>
      <c r="E46" s="204">
        <f>IF(D46="",0,IF(ISERROR(D46*Remuneración!$AP47),"",D46*Remuneración!$AP47))</f>
        <v>0</v>
      </c>
      <c r="F46" s="203"/>
      <c r="G46" s="204">
        <f>IF(F46="",0,IF(ISERROR(F46*Remuneración!$AP47),"",F46*Remuneración!$AP47))</f>
        <v>0</v>
      </c>
      <c r="H46" s="203"/>
      <c r="I46" s="204">
        <f>IF(H46="",0,IF(ISERROR(H46*Remuneración!$AP47),"",H46*Remuneración!$AP47))</f>
        <v>0</v>
      </c>
      <c r="J46" s="203"/>
      <c r="K46" s="204">
        <f>IF(J46="",0,IF(ISERROR(J46*Remuneración!$AP47),"",J46*Remuneración!$AP47))</f>
        <v>0</v>
      </c>
      <c r="L46" s="203"/>
      <c r="M46" s="204">
        <f>IF(L46="",0,IF(ISERROR(L46*Remuneración!$AP47),"",L46*Remuneración!$AP47))</f>
        <v>0</v>
      </c>
      <c r="N46" s="203"/>
      <c r="O46" s="204">
        <f t="shared" si="6"/>
        <v>0</v>
      </c>
      <c r="P46" s="203"/>
      <c r="Q46" s="204">
        <f t="shared" si="7"/>
        <v>0</v>
      </c>
      <c r="R46" s="203"/>
      <c r="S46" s="204">
        <f>IF(R46="",0,IF(ISERROR(R46*Remuneración!$AP47),"",R46*Remuneración!$AP47))</f>
        <v>0</v>
      </c>
      <c r="T46" s="203"/>
      <c r="U46" s="204">
        <f>IF(T46="",0,IF(ISERROR(T46*Remuneración!$AP47),"",T46*Remuneración!$AP47))</f>
        <v>0</v>
      </c>
      <c r="V46" s="203"/>
      <c r="W46" s="204">
        <f>IF(V46="",0,IF(ISERROR(V46*Remuneración!$AP47),"",V46*Remuneración!$AP47))</f>
        <v>0</v>
      </c>
      <c r="X46" s="203"/>
      <c r="Y46" s="204">
        <f>IF(X46="",0,IF(ISERROR(X46*Remuneración!$AP47),"",X46*Remuneración!$AP47))</f>
        <v>0</v>
      </c>
      <c r="Z46" s="191"/>
      <c r="AA46" s="191"/>
      <c r="AB46" s="191"/>
      <c r="AC46" s="206">
        <f t="shared" si="1"/>
        <v>0</v>
      </c>
      <c r="AD46" s="208"/>
      <c r="AE46" s="208"/>
      <c r="AF46" s="208"/>
      <c r="AG46" s="208"/>
      <c r="AH46" s="208"/>
      <c r="AI46" s="208"/>
      <c r="AJ46" s="208"/>
      <c r="AK46" s="208"/>
      <c r="AL46" s="204">
        <f t="shared" si="2"/>
        <v>0</v>
      </c>
      <c r="AM46" s="204">
        <f t="shared" si="3"/>
        <v>0</v>
      </c>
      <c r="AN46" s="204">
        <f>+AM46-AC46+Remuneración!AP47</f>
        <v>0</v>
      </c>
      <c r="AO46" s="204">
        <f t="shared" si="4"/>
        <v>0</v>
      </c>
    </row>
    <row r="47" spans="2:41">
      <c r="B47" s="202" t="str">
        <f>+Remuneración!B48</f>
        <v/>
      </c>
      <c r="C47" s="202" t="str">
        <f>+Remuneración!C48</f>
        <v/>
      </c>
      <c r="D47" s="203"/>
      <c r="E47" s="204">
        <f>IF(D47="",0,IF(ISERROR(D47*Remuneración!$AP48),"",D47*Remuneración!$AP48))</f>
        <v>0</v>
      </c>
      <c r="F47" s="203"/>
      <c r="G47" s="204">
        <f>IF(F47="",0,IF(ISERROR(F47*Remuneración!$AP48),"",F47*Remuneración!$AP48))</f>
        <v>0</v>
      </c>
      <c r="H47" s="203"/>
      <c r="I47" s="204">
        <f>IF(H47="",0,IF(ISERROR(H47*Remuneración!$AP48),"",H47*Remuneración!$AP48))</f>
        <v>0</v>
      </c>
      <c r="J47" s="203"/>
      <c r="K47" s="204">
        <f>IF(J47="",0,IF(ISERROR(J47*Remuneración!$AP48),"",J47*Remuneración!$AP48))</f>
        <v>0</v>
      </c>
      <c r="L47" s="203"/>
      <c r="M47" s="204">
        <f>IF(L47="",0,IF(ISERROR(L47*Remuneración!$AP48),"",L47*Remuneración!$AP48))</f>
        <v>0</v>
      </c>
      <c r="N47" s="203"/>
      <c r="O47" s="204">
        <f t="shared" si="6"/>
        <v>0</v>
      </c>
      <c r="P47" s="203"/>
      <c r="Q47" s="204">
        <f t="shared" si="7"/>
        <v>0</v>
      </c>
      <c r="R47" s="203"/>
      <c r="S47" s="204">
        <f>IF(R47="",0,IF(ISERROR(R47*Remuneración!$AP48),"",R47*Remuneración!$AP48))</f>
        <v>0</v>
      </c>
      <c r="T47" s="203"/>
      <c r="U47" s="204">
        <f>IF(T47="",0,IF(ISERROR(T47*Remuneración!$AP48),"",T47*Remuneración!$AP48))</f>
        <v>0</v>
      </c>
      <c r="V47" s="203"/>
      <c r="W47" s="204">
        <f>IF(V47="",0,IF(ISERROR(V47*Remuneración!$AP48),"",V47*Remuneración!$AP48))</f>
        <v>0</v>
      </c>
      <c r="X47" s="203"/>
      <c r="Y47" s="204">
        <f>IF(X47="",0,IF(ISERROR(X47*Remuneración!$AP48),"",X47*Remuneración!$AP48))</f>
        <v>0</v>
      </c>
      <c r="Z47" s="191"/>
      <c r="AA47" s="191"/>
      <c r="AB47" s="191"/>
      <c r="AC47" s="206">
        <f t="shared" si="1"/>
        <v>0</v>
      </c>
      <c r="AD47" s="208"/>
      <c r="AE47" s="208"/>
      <c r="AF47" s="208"/>
      <c r="AG47" s="208"/>
      <c r="AH47" s="208"/>
      <c r="AI47" s="208"/>
      <c r="AJ47" s="208"/>
      <c r="AK47" s="208"/>
      <c r="AL47" s="204">
        <f t="shared" si="2"/>
        <v>0</v>
      </c>
      <c r="AM47" s="204">
        <f t="shared" si="3"/>
        <v>0</v>
      </c>
      <c r="AN47" s="204">
        <f>+AM47-AC47+Remuneración!AP48</f>
        <v>0</v>
      </c>
      <c r="AO47" s="204">
        <f t="shared" si="4"/>
        <v>0</v>
      </c>
    </row>
    <row r="48" spans="2:41">
      <c r="B48" s="202" t="str">
        <f>+Remuneración!B49</f>
        <v/>
      </c>
      <c r="C48" s="202" t="str">
        <f>+Remuneración!C49</f>
        <v/>
      </c>
      <c r="D48" s="203"/>
      <c r="E48" s="204">
        <f>IF(D48="",0,IF(ISERROR(D48*Remuneración!$AP49),"",D48*Remuneración!$AP49))</f>
        <v>0</v>
      </c>
      <c r="F48" s="203"/>
      <c r="G48" s="204">
        <f>IF(F48="",0,IF(ISERROR(F48*Remuneración!$AP49),"",F48*Remuneración!$AP49))</f>
        <v>0</v>
      </c>
      <c r="H48" s="203"/>
      <c r="I48" s="204">
        <f>IF(H48="",0,IF(ISERROR(H48*Remuneración!$AP49),"",H48*Remuneración!$AP49))</f>
        <v>0</v>
      </c>
      <c r="J48" s="203"/>
      <c r="K48" s="204">
        <f>IF(J48="",0,IF(ISERROR(J48*Remuneración!$AP49),"",J48*Remuneración!$AP49))</f>
        <v>0</v>
      </c>
      <c r="L48" s="203"/>
      <c r="M48" s="204">
        <f>IF(L48="",0,IF(ISERROR(L48*Remuneración!$AP49),"",L48*Remuneración!$AP49))</f>
        <v>0</v>
      </c>
      <c r="N48" s="203"/>
      <c r="O48" s="204">
        <f t="shared" si="6"/>
        <v>0</v>
      </c>
      <c r="P48" s="203"/>
      <c r="Q48" s="204">
        <f t="shared" si="7"/>
        <v>0</v>
      </c>
      <c r="R48" s="203"/>
      <c r="S48" s="204">
        <f>IF(R48="",0,IF(ISERROR(R48*Remuneración!$AP49),"",R48*Remuneración!$AP49))</f>
        <v>0</v>
      </c>
      <c r="T48" s="203"/>
      <c r="U48" s="204">
        <f>IF(T48="",0,IF(ISERROR(T48*Remuneración!$AP49),"",T48*Remuneración!$AP49))</f>
        <v>0</v>
      </c>
      <c r="V48" s="203"/>
      <c r="W48" s="204">
        <f>IF(V48="",0,IF(ISERROR(V48*Remuneración!$AP49),"",V48*Remuneración!$AP49))</f>
        <v>0</v>
      </c>
      <c r="X48" s="203"/>
      <c r="Y48" s="204">
        <f>IF(X48="",0,IF(ISERROR(X48*Remuneración!$AP49),"",X48*Remuneración!$AP49))</f>
        <v>0</v>
      </c>
      <c r="Z48" s="191"/>
      <c r="AA48" s="191"/>
      <c r="AB48" s="191"/>
      <c r="AC48" s="206">
        <f t="shared" si="1"/>
        <v>0</v>
      </c>
      <c r="AD48" s="208"/>
      <c r="AE48" s="208"/>
      <c r="AF48" s="208"/>
      <c r="AG48" s="208"/>
      <c r="AH48" s="208"/>
      <c r="AI48" s="208"/>
      <c r="AJ48" s="208"/>
      <c r="AK48" s="208"/>
      <c r="AL48" s="204">
        <f t="shared" si="2"/>
        <v>0</v>
      </c>
      <c r="AM48" s="204">
        <f t="shared" si="3"/>
        <v>0</v>
      </c>
      <c r="AN48" s="204">
        <f>+AM48-AC48+Remuneración!AP49</f>
        <v>0</v>
      </c>
      <c r="AO48" s="204">
        <f t="shared" si="4"/>
        <v>0</v>
      </c>
    </row>
    <row r="49" spans="2:41">
      <c r="B49" s="202" t="str">
        <f>+Remuneración!B50</f>
        <v/>
      </c>
      <c r="C49" s="202" t="str">
        <f>+Remuneración!C50</f>
        <v/>
      </c>
      <c r="D49" s="203"/>
      <c r="E49" s="204">
        <f>IF(D49="",0,IF(ISERROR(D49*Remuneración!$AP50),"",D49*Remuneración!$AP50))</f>
        <v>0</v>
      </c>
      <c r="F49" s="203"/>
      <c r="G49" s="204">
        <f>IF(F49="",0,IF(ISERROR(F49*Remuneración!$AP50),"",F49*Remuneración!$AP50))</f>
        <v>0</v>
      </c>
      <c r="H49" s="203"/>
      <c r="I49" s="204">
        <f>IF(H49="",0,IF(ISERROR(H49*Remuneración!$AP50),"",H49*Remuneración!$AP50))</f>
        <v>0</v>
      </c>
      <c r="J49" s="203"/>
      <c r="K49" s="204">
        <f>IF(J49="",0,IF(ISERROR(J49*Remuneración!$AP50),"",J49*Remuneración!$AP50))</f>
        <v>0</v>
      </c>
      <c r="L49" s="203"/>
      <c r="M49" s="204">
        <f>IF(L49="",0,IF(ISERROR(L49*Remuneración!$AP50),"",L49*Remuneración!$AP50))</f>
        <v>0</v>
      </c>
      <c r="N49" s="203"/>
      <c r="O49" s="204">
        <f t="shared" si="6"/>
        <v>0</v>
      </c>
      <c r="P49" s="203"/>
      <c r="Q49" s="204">
        <f t="shared" si="7"/>
        <v>0</v>
      </c>
      <c r="R49" s="203"/>
      <c r="S49" s="204">
        <f>IF(R49="",0,IF(ISERROR(R49*Remuneración!$AP50),"",R49*Remuneración!$AP50))</f>
        <v>0</v>
      </c>
      <c r="T49" s="203"/>
      <c r="U49" s="204">
        <f>IF(T49="",0,IF(ISERROR(T49*Remuneración!$AP50),"",T49*Remuneración!$AP50))</f>
        <v>0</v>
      </c>
      <c r="V49" s="203"/>
      <c r="W49" s="204">
        <f>IF(V49="",0,IF(ISERROR(V49*Remuneración!$AP50),"",V49*Remuneración!$AP50))</f>
        <v>0</v>
      </c>
      <c r="X49" s="203"/>
      <c r="Y49" s="204">
        <f>IF(X49="",0,IF(ISERROR(X49*Remuneración!$AP50),"",X49*Remuneración!$AP50))</f>
        <v>0</v>
      </c>
      <c r="Z49" s="191"/>
      <c r="AA49" s="191"/>
      <c r="AB49" s="191"/>
      <c r="AC49" s="206">
        <f t="shared" si="1"/>
        <v>0</v>
      </c>
      <c r="AD49" s="208"/>
      <c r="AE49" s="208"/>
      <c r="AF49" s="208"/>
      <c r="AG49" s="208"/>
      <c r="AH49" s="208"/>
      <c r="AI49" s="208"/>
      <c r="AJ49" s="208"/>
      <c r="AK49" s="208"/>
      <c r="AL49" s="204">
        <f t="shared" si="2"/>
        <v>0</v>
      </c>
      <c r="AM49" s="204">
        <f t="shared" si="3"/>
        <v>0</v>
      </c>
      <c r="AN49" s="204">
        <f>+AM49-AC49+Remuneración!AP50</f>
        <v>0</v>
      </c>
      <c r="AO49" s="204">
        <f t="shared" si="4"/>
        <v>0</v>
      </c>
    </row>
    <row r="50" spans="2:41">
      <c r="B50" s="202" t="str">
        <f>+Remuneración!B51</f>
        <v/>
      </c>
      <c r="C50" s="202" t="str">
        <f>+Remuneración!C51</f>
        <v/>
      </c>
      <c r="D50" s="203"/>
      <c r="E50" s="204">
        <f>IF(D50="",0,IF(ISERROR(D50*Remuneración!$AP51),"",D50*Remuneración!$AP51))</f>
        <v>0</v>
      </c>
      <c r="F50" s="203"/>
      <c r="G50" s="204">
        <f>IF(F50="",0,IF(ISERROR(F50*Remuneración!$AP51),"",F50*Remuneración!$AP51))</f>
        <v>0</v>
      </c>
      <c r="H50" s="203"/>
      <c r="I50" s="204">
        <f>IF(H50="",0,IF(ISERROR(H50*Remuneración!$AP51),"",H50*Remuneración!$AP51))</f>
        <v>0</v>
      </c>
      <c r="J50" s="203"/>
      <c r="K50" s="204">
        <f>IF(J50="",0,IF(ISERROR(J50*Remuneración!$AP51),"",J50*Remuneración!$AP51))</f>
        <v>0</v>
      </c>
      <c r="L50" s="203"/>
      <c r="M50" s="204">
        <f>IF(L50="",0,IF(ISERROR(L50*Remuneración!$AP51),"",L50*Remuneración!$AP51))</f>
        <v>0</v>
      </c>
      <c r="N50" s="203"/>
      <c r="O50" s="204">
        <f t="shared" si="6"/>
        <v>0</v>
      </c>
      <c r="P50" s="203"/>
      <c r="Q50" s="204">
        <f t="shared" si="7"/>
        <v>0</v>
      </c>
      <c r="R50" s="203"/>
      <c r="S50" s="204">
        <f>IF(R50="",0,IF(ISERROR(R50*Remuneración!$AP51),"",R50*Remuneración!$AP51))</f>
        <v>0</v>
      </c>
      <c r="T50" s="203"/>
      <c r="U50" s="204">
        <f>IF(T50="",0,IF(ISERROR(T50*Remuneración!$AP51),"",T50*Remuneración!$AP51))</f>
        <v>0</v>
      </c>
      <c r="V50" s="203"/>
      <c r="W50" s="204">
        <f>IF(V50="",0,IF(ISERROR(V50*Remuneración!$AP51),"",V50*Remuneración!$AP51))</f>
        <v>0</v>
      </c>
      <c r="X50" s="203"/>
      <c r="Y50" s="204">
        <f>IF(X50="",0,IF(ISERROR(X50*Remuneración!$AP51),"",X50*Remuneración!$AP51))</f>
        <v>0</v>
      </c>
      <c r="Z50" s="191"/>
      <c r="AA50" s="191"/>
      <c r="AB50" s="191"/>
      <c r="AC50" s="206">
        <f t="shared" si="1"/>
        <v>0</v>
      </c>
      <c r="AD50" s="208"/>
      <c r="AE50" s="208"/>
      <c r="AF50" s="208"/>
      <c r="AG50" s="208"/>
      <c r="AH50" s="208"/>
      <c r="AI50" s="208"/>
      <c r="AJ50" s="208"/>
      <c r="AK50" s="208"/>
      <c r="AL50" s="204">
        <f t="shared" si="2"/>
        <v>0</v>
      </c>
      <c r="AM50" s="204">
        <f t="shared" si="3"/>
        <v>0</v>
      </c>
      <c r="AN50" s="204">
        <f>+AM50-AC50+Remuneración!AP51</f>
        <v>0</v>
      </c>
      <c r="AO50" s="204">
        <f t="shared" si="4"/>
        <v>0</v>
      </c>
    </row>
    <row r="51" spans="2:41">
      <c r="B51" s="202" t="str">
        <f>+Remuneración!B52</f>
        <v/>
      </c>
      <c r="C51" s="202" t="str">
        <f>+Remuneración!C52</f>
        <v/>
      </c>
      <c r="D51" s="203"/>
      <c r="E51" s="204">
        <f>IF(D51="",0,IF(ISERROR(D51*Remuneración!$AP52),"",D51*Remuneración!$AP52))</f>
        <v>0</v>
      </c>
      <c r="F51" s="203"/>
      <c r="G51" s="204">
        <f>IF(F51="",0,IF(ISERROR(F51*Remuneración!$AP52),"",F51*Remuneración!$AP52))</f>
        <v>0</v>
      </c>
      <c r="H51" s="203"/>
      <c r="I51" s="204">
        <f>IF(H51="",0,IF(ISERROR(H51*Remuneración!$AP52),"",H51*Remuneración!$AP52))</f>
        <v>0</v>
      </c>
      <c r="J51" s="203"/>
      <c r="K51" s="204">
        <f>IF(J51="",0,IF(ISERROR(J51*Remuneración!$AP52),"",J51*Remuneración!$AP52))</f>
        <v>0</v>
      </c>
      <c r="L51" s="203"/>
      <c r="M51" s="204">
        <f>IF(L51="",0,IF(ISERROR(L51*Remuneración!$AP52),"",L51*Remuneración!$AP52))</f>
        <v>0</v>
      </c>
      <c r="N51" s="203"/>
      <c r="O51" s="204">
        <f t="shared" si="6"/>
        <v>0</v>
      </c>
      <c r="P51" s="203"/>
      <c r="Q51" s="204">
        <f t="shared" si="7"/>
        <v>0</v>
      </c>
      <c r="R51" s="203"/>
      <c r="S51" s="204">
        <f>IF(R51="",0,IF(ISERROR(R51*Remuneración!$AP52),"",R51*Remuneración!$AP52))</f>
        <v>0</v>
      </c>
      <c r="T51" s="203"/>
      <c r="U51" s="204">
        <f>IF(T51="",0,IF(ISERROR(T51*Remuneración!$AP52),"",T51*Remuneración!$AP52))</f>
        <v>0</v>
      </c>
      <c r="V51" s="203"/>
      <c r="W51" s="204">
        <f>IF(V51="",0,IF(ISERROR(V51*Remuneración!$AP52),"",V51*Remuneración!$AP52))</f>
        <v>0</v>
      </c>
      <c r="X51" s="203"/>
      <c r="Y51" s="204">
        <f>IF(X51="",0,IF(ISERROR(X51*Remuneración!$AP52),"",X51*Remuneración!$AP52))</f>
        <v>0</v>
      </c>
      <c r="Z51" s="191"/>
      <c r="AA51" s="191"/>
      <c r="AB51" s="191"/>
      <c r="AC51" s="206">
        <f t="shared" si="1"/>
        <v>0</v>
      </c>
      <c r="AD51" s="208"/>
      <c r="AE51" s="208"/>
      <c r="AF51" s="208"/>
      <c r="AG51" s="208"/>
      <c r="AH51" s="208"/>
      <c r="AI51" s="208"/>
      <c r="AJ51" s="208"/>
      <c r="AK51" s="208"/>
      <c r="AL51" s="204">
        <f t="shared" si="2"/>
        <v>0</v>
      </c>
      <c r="AM51" s="204">
        <f t="shared" si="3"/>
        <v>0</v>
      </c>
      <c r="AN51" s="204">
        <f>+AM51-AC51+Remuneración!AP52</f>
        <v>0</v>
      </c>
      <c r="AO51" s="204">
        <f t="shared" si="4"/>
        <v>0</v>
      </c>
    </row>
    <row r="52" spans="2:41">
      <c r="B52" s="202" t="str">
        <f>+Remuneración!B53</f>
        <v/>
      </c>
      <c r="C52" s="202" t="str">
        <f>+Remuneración!C53</f>
        <v/>
      </c>
      <c r="D52" s="203"/>
      <c r="E52" s="204">
        <f>IF(D52="",0,IF(ISERROR(D52*Remuneración!$AP53),"",D52*Remuneración!$AP53))</f>
        <v>0</v>
      </c>
      <c r="F52" s="203"/>
      <c r="G52" s="204">
        <f>IF(F52="",0,IF(ISERROR(F52*Remuneración!$AP53),"",F52*Remuneración!$AP53))</f>
        <v>0</v>
      </c>
      <c r="H52" s="203"/>
      <c r="I52" s="204">
        <f>IF(H52="",0,IF(ISERROR(H52*Remuneración!$AP53),"",H52*Remuneración!$AP53))</f>
        <v>0</v>
      </c>
      <c r="J52" s="203"/>
      <c r="K52" s="204">
        <f>IF(J52="",0,IF(ISERROR(J52*Remuneración!$AP53),"",J52*Remuneración!$AP53))</f>
        <v>0</v>
      </c>
      <c r="L52" s="203"/>
      <c r="M52" s="204">
        <f>IF(L52="",0,IF(ISERROR(L52*Remuneración!$AP53),"",L52*Remuneración!$AP53))</f>
        <v>0</v>
      </c>
      <c r="N52" s="203"/>
      <c r="O52" s="204">
        <f t="shared" si="6"/>
        <v>0</v>
      </c>
      <c r="P52" s="203"/>
      <c r="Q52" s="204">
        <f t="shared" si="7"/>
        <v>0</v>
      </c>
      <c r="R52" s="203"/>
      <c r="S52" s="204">
        <f>IF(R52="",0,IF(ISERROR(R52*Remuneración!$AP53),"",R52*Remuneración!$AP53))</f>
        <v>0</v>
      </c>
      <c r="T52" s="203"/>
      <c r="U52" s="204">
        <f>IF(T52="",0,IF(ISERROR(T52*Remuneración!$AP53),"",T52*Remuneración!$AP53))</f>
        <v>0</v>
      </c>
      <c r="V52" s="203"/>
      <c r="W52" s="204">
        <f>IF(V52="",0,IF(ISERROR(V52*Remuneración!$AP53),"",V52*Remuneración!$AP53))</f>
        <v>0</v>
      </c>
      <c r="X52" s="203"/>
      <c r="Y52" s="204">
        <f>IF(X52="",0,IF(ISERROR(X52*Remuneración!$AP53),"",X52*Remuneración!$AP53))</f>
        <v>0</v>
      </c>
      <c r="Z52" s="191"/>
      <c r="AA52" s="191"/>
      <c r="AB52" s="191"/>
      <c r="AC52" s="206">
        <f t="shared" si="1"/>
        <v>0</v>
      </c>
      <c r="AD52" s="208"/>
      <c r="AE52" s="208"/>
      <c r="AF52" s="208"/>
      <c r="AG52" s="208"/>
      <c r="AH52" s="208"/>
      <c r="AI52" s="208"/>
      <c r="AJ52" s="208"/>
      <c r="AK52" s="208"/>
      <c r="AL52" s="204">
        <f t="shared" si="2"/>
        <v>0</v>
      </c>
      <c r="AM52" s="204">
        <f t="shared" si="3"/>
        <v>0</v>
      </c>
      <c r="AN52" s="204">
        <f>+AM52-AC52+Remuneración!AP53</f>
        <v>0</v>
      </c>
      <c r="AO52" s="204">
        <f t="shared" si="4"/>
        <v>0</v>
      </c>
    </row>
    <row r="53" spans="2:41">
      <c r="B53" s="202" t="str">
        <f>+Remuneración!B54</f>
        <v/>
      </c>
      <c r="C53" s="202" t="str">
        <f>+Remuneración!C54</f>
        <v/>
      </c>
      <c r="D53" s="203"/>
      <c r="E53" s="204">
        <f>IF(D53="",0,IF(ISERROR(D53*Remuneración!$AP54),"",D53*Remuneración!$AP54))</f>
        <v>0</v>
      </c>
      <c r="F53" s="203"/>
      <c r="G53" s="204">
        <f>IF(F53="",0,IF(ISERROR(F53*Remuneración!$AP54),"",F53*Remuneración!$AP54))</f>
        <v>0</v>
      </c>
      <c r="H53" s="203"/>
      <c r="I53" s="204">
        <f>IF(H53="",0,IF(ISERROR(H53*Remuneración!$AP54),"",H53*Remuneración!$AP54))</f>
        <v>0</v>
      </c>
      <c r="J53" s="203"/>
      <c r="K53" s="204">
        <f>IF(J53="",0,IF(ISERROR(J53*Remuneración!$AP54),"",J53*Remuneración!$AP54))</f>
        <v>0</v>
      </c>
      <c r="L53" s="203"/>
      <c r="M53" s="204">
        <f>IF(L53="",0,IF(ISERROR(L53*Remuneración!$AP54),"",L53*Remuneración!$AP54))</f>
        <v>0</v>
      </c>
      <c r="N53" s="203"/>
      <c r="O53" s="204">
        <f t="shared" si="6"/>
        <v>0</v>
      </c>
      <c r="P53" s="203"/>
      <c r="Q53" s="204">
        <f t="shared" si="7"/>
        <v>0</v>
      </c>
      <c r="R53" s="203"/>
      <c r="S53" s="204">
        <f>IF(R53="",0,IF(ISERROR(R53*Remuneración!$AP54),"",R53*Remuneración!$AP54))</f>
        <v>0</v>
      </c>
      <c r="T53" s="203"/>
      <c r="U53" s="204">
        <f>IF(T53="",0,IF(ISERROR(T53*Remuneración!$AP54),"",T53*Remuneración!$AP54))</f>
        <v>0</v>
      </c>
      <c r="V53" s="203"/>
      <c r="W53" s="204">
        <f>IF(V53="",0,IF(ISERROR(V53*Remuneración!$AP54),"",V53*Remuneración!$AP54))</f>
        <v>0</v>
      </c>
      <c r="X53" s="203"/>
      <c r="Y53" s="204">
        <f>IF(X53="",0,IF(ISERROR(X53*Remuneración!$AP54),"",X53*Remuneración!$AP54))</f>
        <v>0</v>
      </c>
      <c r="Z53" s="191"/>
      <c r="AA53" s="191"/>
      <c r="AB53" s="191"/>
      <c r="AC53" s="206">
        <f t="shared" si="1"/>
        <v>0</v>
      </c>
      <c r="AD53" s="208"/>
      <c r="AE53" s="208"/>
      <c r="AF53" s="208"/>
      <c r="AG53" s="208"/>
      <c r="AH53" s="208"/>
      <c r="AI53" s="208"/>
      <c r="AJ53" s="208"/>
      <c r="AK53" s="208"/>
      <c r="AL53" s="204">
        <f t="shared" si="2"/>
        <v>0</v>
      </c>
      <c r="AM53" s="204">
        <f t="shared" si="3"/>
        <v>0</v>
      </c>
      <c r="AN53" s="204">
        <f>+AM53-AC53+Remuneración!AP54</f>
        <v>0</v>
      </c>
      <c r="AO53" s="204">
        <f t="shared" si="4"/>
        <v>0</v>
      </c>
    </row>
    <row r="54" spans="2:41">
      <c r="B54" s="202" t="str">
        <f>+Remuneración!B55</f>
        <v/>
      </c>
      <c r="C54" s="202" t="str">
        <f>+Remuneración!C55</f>
        <v/>
      </c>
      <c r="D54" s="203"/>
      <c r="E54" s="204">
        <f>IF(D54="",0,IF(ISERROR(D54*Remuneración!$AP55),"",D54*Remuneración!$AP55))</f>
        <v>0</v>
      </c>
      <c r="F54" s="203"/>
      <c r="G54" s="204">
        <f>IF(F54="",0,IF(ISERROR(F54*Remuneración!$AP55),"",F54*Remuneración!$AP55))</f>
        <v>0</v>
      </c>
      <c r="H54" s="203"/>
      <c r="I54" s="204">
        <f>IF(H54="",0,IF(ISERROR(H54*Remuneración!$AP55),"",H54*Remuneración!$AP55))</f>
        <v>0</v>
      </c>
      <c r="J54" s="203"/>
      <c r="K54" s="204">
        <f>IF(J54="",0,IF(ISERROR(J54*Remuneración!$AP55),"",J54*Remuneración!$AP55))</f>
        <v>0</v>
      </c>
      <c r="L54" s="203"/>
      <c r="M54" s="204">
        <f>IF(L54="",0,IF(ISERROR(L54*Remuneración!$AP55),"",L54*Remuneración!$AP55))</f>
        <v>0</v>
      </c>
      <c r="N54" s="203"/>
      <c r="O54" s="204">
        <f t="shared" si="6"/>
        <v>0</v>
      </c>
      <c r="P54" s="203"/>
      <c r="Q54" s="204">
        <f t="shared" si="7"/>
        <v>0</v>
      </c>
      <c r="R54" s="203"/>
      <c r="S54" s="204">
        <f>IF(R54="",0,IF(ISERROR(R54*Remuneración!$AP55),"",R54*Remuneración!$AP55))</f>
        <v>0</v>
      </c>
      <c r="T54" s="203"/>
      <c r="U54" s="204">
        <f>IF(T54="",0,IF(ISERROR(T54*Remuneración!$AP55),"",T54*Remuneración!$AP55))</f>
        <v>0</v>
      </c>
      <c r="V54" s="203"/>
      <c r="W54" s="204">
        <f>IF(V54="",0,IF(ISERROR(V54*Remuneración!$AP55),"",V54*Remuneración!$AP55))</f>
        <v>0</v>
      </c>
      <c r="X54" s="203"/>
      <c r="Y54" s="204">
        <f>IF(X54="",0,IF(ISERROR(X54*Remuneración!$AP55),"",X54*Remuneración!$AP55))</f>
        <v>0</v>
      </c>
      <c r="Z54" s="191"/>
      <c r="AA54" s="191"/>
      <c r="AB54" s="191"/>
      <c r="AC54" s="206">
        <f t="shared" si="1"/>
        <v>0</v>
      </c>
      <c r="AD54" s="208"/>
      <c r="AE54" s="208"/>
      <c r="AF54" s="208"/>
      <c r="AG54" s="208"/>
      <c r="AH54" s="208"/>
      <c r="AI54" s="208"/>
      <c r="AJ54" s="208"/>
      <c r="AK54" s="208"/>
      <c r="AL54" s="204">
        <f t="shared" si="2"/>
        <v>0</v>
      </c>
      <c r="AM54" s="204">
        <f t="shared" si="3"/>
        <v>0</v>
      </c>
      <c r="AN54" s="204">
        <f>+AM54-AC54+Remuneración!AP55</f>
        <v>0</v>
      </c>
      <c r="AO54" s="204">
        <f t="shared" si="4"/>
        <v>0</v>
      </c>
    </row>
    <row r="55" spans="2:41">
      <c r="B55" s="202" t="str">
        <f>+Remuneración!B56</f>
        <v/>
      </c>
      <c r="C55" s="202" t="str">
        <f>+Remuneración!C56</f>
        <v/>
      </c>
      <c r="D55" s="203"/>
      <c r="E55" s="204">
        <f>IF(D55="",0,IF(ISERROR(D55*Remuneración!$AP56),"",D55*Remuneración!$AP56))</f>
        <v>0</v>
      </c>
      <c r="F55" s="203"/>
      <c r="G55" s="204">
        <f>IF(F55="",0,IF(ISERROR(F55*Remuneración!$AP56),"",F55*Remuneración!$AP56))</f>
        <v>0</v>
      </c>
      <c r="H55" s="203"/>
      <c r="I55" s="204">
        <f>IF(H55="",0,IF(ISERROR(H55*Remuneración!$AP56),"",H55*Remuneración!$AP56))</f>
        <v>0</v>
      </c>
      <c r="J55" s="203"/>
      <c r="K55" s="204">
        <f>IF(J55="",0,IF(ISERROR(J55*Remuneración!$AP56),"",J55*Remuneración!$AP56))</f>
        <v>0</v>
      </c>
      <c r="L55" s="203"/>
      <c r="M55" s="204">
        <f>IF(L55="",0,IF(ISERROR(L55*Remuneración!$AP56),"",L55*Remuneración!$AP56))</f>
        <v>0</v>
      </c>
      <c r="N55" s="203"/>
      <c r="O55" s="204">
        <f t="shared" si="6"/>
        <v>0</v>
      </c>
      <c r="P55" s="203"/>
      <c r="Q55" s="204">
        <f t="shared" si="7"/>
        <v>0</v>
      </c>
      <c r="R55" s="203"/>
      <c r="S55" s="204">
        <f>IF(R55="",0,IF(ISERROR(R55*Remuneración!$AP56),"",R55*Remuneración!$AP56))</f>
        <v>0</v>
      </c>
      <c r="T55" s="203"/>
      <c r="U55" s="204">
        <f>IF(T55="",0,IF(ISERROR(T55*Remuneración!$AP56),"",T55*Remuneración!$AP56))</f>
        <v>0</v>
      </c>
      <c r="V55" s="203"/>
      <c r="W55" s="204">
        <f>IF(V55="",0,IF(ISERROR(V55*Remuneración!$AP56),"",V55*Remuneración!$AP56))</f>
        <v>0</v>
      </c>
      <c r="X55" s="203"/>
      <c r="Y55" s="204">
        <f>IF(X55="",0,IF(ISERROR(X55*Remuneración!$AP56),"",X55*Remuneración!$AP56))</f>
        <v>0</v>
      </c>
      <c r="Z55" s="191"/>
      <c r="AA55" s="191"/>
      <c r="AB55" s="191"/>
      <c r="AC55" s="206">
        <f t="shared" si="1"/>
        <v>0</v>
      </c>
      <c r="AD55" s="208"/>
      <c r="AE55" s="208"/>
      <c r="AF55" s="208"/>
      <c r="AG55" s="208"/>
      <c r="AH55" s="208"/>
      <c r="AI55" s="208"/>
      <c r="AJ55" s="208"/>
      <c r="AK55" s="208"/>
      <c r="AL55" s="204">
        <f t="shared" si="2"/>
        <v>0</v>
      </c>
      <c r="AM55" s="204">
        <f t="shared" si="3"/>
        <v>0</v>
      </c>
      <c r="AN55" s="204">
        <f>+AM55-AC55+Remuneración!AP56</f>
        <v>0</v>
      </c>
      <c r="AO55" s="204">
        <f t="shared" si="4"/>
        <v>0</v>
      </c>
    </row>
    <row r="56" spans="2:41">
      <c r="B56" s="202" t="str">
        <f>+Remuneración!B58</f>
        <v/>
      </c>
      <c r="C56" s="202" t="str">
        <f>+Remuneración!C58</f>
        <v/>
      </c>
      <c r="D56" s="203"/>
      <c r="E56" s="204">
        <f>IF(D56="",0,IF(ISERROR(D56*Remuneración!$AP58),"",D56*Remuneración!$AP58))</f>
        <v>0</v>
      </c>
      <c r="F56" s="203"/>
      <c r="G56" s="204">
        <f>IF(F56="",0,IF(ISERROR(F56*Remuneración!$AP58),"",F56*Remuneración!$AP58))</f>
        <v>0</v>
      </c>
      <c r="H56" s="203"/>
      <c r="I56" s="204">
        <f>IF(H56="",0,IF(ISERROR(H56*Remuneración!$AP58),"",H56*Remuneración!$AP58))</f>
        <v>0</v>
      </c>
      <c r="J56" s="203"/>
      <c r="K56" s="204">
        <f>IF(J56="",0,IF(ISERROR(J56*Remuneración!$AP58),"",J56*Remuneración!$AP58))</f>
        <v>0</v>
      </c>
      <c r="L56" s="203"/>
      <c r="M56" s="204">
        <f>IF(L56="",0,IF(ISERROR(L56*Remuneración!$AP58),"",L56*Remuneración!$AP58))</f>
        <v>0</v>
      </c>
      <c r="N56" s="203"/>
      <c r="O56" s="204">
        <f t="shared" si="6"/>
        <v>0</v>
      </c>
      <c r="P56" s="203"/>
      <c r="Q56" s="204">
        <f t="shared" si="7"/>
        <v>0</v>
      </c>
      <c r="R56" s="203"/>
      <c r="S56" s="204">
        <f>IF(R56="",0,IF(ISERROR(R56*Remuneración!$AP58),"",R56*Remuneración!$AP58))</f>
        <v>0</v>
      </c>
      <c r="T56" s="203"/>
      <c r="U56" s="204">
        <f>IF(T56="",0,IF(ISERROR(T56*Remuneración!$AP58),"",T56*Remuneración!$AP58))</f>
        <v>0</v>
      </c>
      <c r="V56" s="203"/>
      <c r="W56" s="204">
        <f>IF(V56="",0,IF(ISERROR(V56*Remuneración!$AP58),"",V56*Remuneración!$AP58))</f>
        <v>0</v>
      </c>
      <c r="X56" s="203"/>
      <c r="Y56" s="204">
        <f>IF(X56="",0,IF(ISERROR(X56*Remuneración!$AP58),"",X56*Remuneración!$AP58))</f>
        <v>0</v>
      </c>
      <c r="Z56" s="191"/>
      <c r="AA56" s="191"/>
      <c r="AB56" s="191"/>
      <c r="AC56" s="206">
        <f t="shared" si="1"/>
        <v>0</v>
      </c>
      <c r="AD56" s="208"/>
      <c r="AE56" s="208"/>
      <c r="AF56" s="208"/>
      <c r="AG56" s="208"/>
      <c r="AH56" s="208"/>
      <c r="AI56" s="208"/>
      <c r="AJ56" s="208"/>
      <c r="AK56" s="208"/>
      <c r="AL56" s="204">
        <f t="shared" si="2"/>
        <v>0</v>
      </c>
      <c r="AM56" s="204">
        <f t="shared" si="3"/>
        <v>0</v>
      </c>
      <c r="AN56" s="204">
        <f>+AM56-AC56+Remuneración!AP58</f>
        <v>0</v>
      </c>
      <c r="AO56" s="204">
        <f t="shared" si="4"/>
        <v>0</v>
      </c>
    </row>
    <row r="57" spans="2:41">
      <c r="Y57" s="194"/>
      <c r="Z57" s="209"/>
      <c r="AA57" s="209"/>
      <c r="AB57" s="209"/>
      <c r="AC57" s="210"/>
      <c r="AD57" s="211"/>
    </row>
    <row r="58" spans="2:41">
      <c r="AD58" s="211"/>
    </row>
    <row r="59" spans="2:41">
      <c r="AD59" s="211"/>
    </row>
  </sheetData>
  <mergeCells count="13">
    <mergeCell ref="E2:Y2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D5:AK5"/>
  </mergeCells>
  <conditionalFormatting sqref="K7:K56;E7:E56;M7:M56;I7:I56;AL7:AO56;Y7:AC56;W7:W56;G7:G56;S7:S56;U7:U56;Q7:Q56;O7:O56">
    <cfRule type="expression" dxfId="0" priority="1" stopIfTrue="1">
      <formula>E7=0</formula>
    </cfRule>
  </conditionalFormatting>
  <pageMargins left="0.75" right="0.75" top="1" bottom="1" header="0.5" footer="0.5"/>
  <pageSetup paperSize="9" scale="49" orientation="landscape" horizontalDpi="300" verticalDpi="300"/>
  <headerFooter alignWithMargins="0"/>
  <rowBreaks count="1" manualBreakCount="1">
    <brk id="52" max="25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2"/>
  <dimension ref="A1:Z57"/>
  <sheetViews>
    <sheetView showGridLines="0" zoomScaleSheetLayoutView="40" workbookViewId="0">
      <pane xSplit="3" ySplit="6" topLeftCell="D7" activePane="bottomRight" state="frozenSplit"/>
      <selection/>
      <selection pane="topRight"/>
      <selection pane="bottomLeft"/>
      <selection pane="bottomRight" activeCell="A1" sqref="A1"/>
    </sheetView>
  </sheetViews>
  <sheetFormatPr defaultColWidth="9.14285714285714" defaultRowHeight="10.5"/>
  <cols>
    <col min="1" max="1" width="1.57142857142857" style="171" customWidth="1"/>
    <col min="2" max="2" width="6.42857142857143" style="170" customWidth="1"/>
    <col min="3" max="3" width="14.7142857142857" style="170"/>
    <col min="4" max="4" width="7.28571428571429" style="172"/>
    <col min="5" max="5" width="9.28571428571429" style="171"/>
    <col min="6" max="6" width="7" style="172"/>
    <col min="7" max="7" width="9.28571428571429" style="171"/>
    <col min="8" max="8" width="7" style="172"/>
    <col min="9" max="9" width="9.28571428571429" style="171"/>
    <col min="10" max="10" width="7" style="172"/>
    <col min="11" max="11" width="9.28571428571429" style="171"/>
    <col min="12" max="12" width="7.85714285714286" style="172"/>
    <col min="13" max="13" width="9.28571428571429" style="171"/>
    <col min="14" max="14" width="8.57142857142857" style="172" customWidth="1"/>
    <col min="15" max="15" width="8.57142857142857" style="171" customWidth="1"/>
    <col min="16" max="16" width="8.57142857142857" style="172" customWidth="1"/>
    <col min="17" max="17" width="8.57142857142857" style="171" customWidth="1"/>
    <col min="18" max="18" width="7.85714285714286" style="172"/>
    <col min="19" max="19" width="8.57142857142857" style="171"/>
    <col min="20" max="20" width="7.85714285714286" style="172"/>
    <col min="21" max="21" width="9.42857142857143" style="171" customWidth="1"/>
    <col min="22" max="22" width="11.7142857142857" style="171"/>
    <col min="23" max="23" width="10.8571428571429" style="173" hidden="1" customWidth="1"/>
    <col min="24" max="24" width="11.8571428571429" style="174"/>
    <col min="25" max="16384" width="9.14285714285714" style="174"/>
  </cols>
  <sheetData>
    <row r="1" s="23" customFormat="1" ht="6" customHeight="1" spans="1:26">
      <c r="D1" s="24"/>
      <c r="F1" s="24"/>
      <c r="H1" s="24"/>
      <c r="J1" s="24"/>
      <c r="L1" s="24"/>
      <c r="N1" s="24"/>
      <c r="P1" s="24"/>
      <c r="R1" s="24"/>
      <c r="T1" s="24"/>
      <c r="W1" s="25"/>
    </row>
    <row r="2" s="169" customFormat="1" ht="21.75" customHeight="1" spans="1:26">
      <c r="D2" s="175"/>
      <c r="E2" s="176" t="s">
        <v>220</v>
      </c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W2" s="177"/>
    </row>
    <row r="3" s="170" customFormat="1" ht="13.5" customHeight="1" spans="1:26">
      <c r="A3" s="178"/>
      <c r="B3" s="179">
        <v>1</v>
      </c>
      <c r="C3" s="178">
        <v>2</v>
      </c>
      <c r="D3" s="180">
        <v>3</v>
      </c>
      <c r="E3" s="178">
        <v>4</v>
      </c>
      <c r="F3" s="180">
        <v>5</v>
      </c>
      <c r="G3" s="178">
        <v>6</v>
      </c>
      <c r="H3" s="180">
        <v>7</v>
      </c>
      <c r="I3" s="178">
        <v>8</v>
      </c>
      <c r="J3" s="180">
        <v>9</v>
      </c>
      <c r="K3" s="178">
        <v>10</v>
      </c>
      <c r="L3" s="180">
        <v>11</v>
      </c>
      <c r="M3" s="178">
        <v>12</v>
      </c>
      <c r="N3" s="180">
        <v>17</v>
      </c>
      <c r="O3" s="178">
        <v>18</v>
      </c>
      <c r="P3" s="180">
        <v>19</v>
      </c>
      <c r="Q3" s="178">
        <v>20</v>
      </c>
      <c r="R3" s="180">
        <v>21</v>
      </c>
      <c r="S3" s="178">
        <v>22</v>
      </c>
      <c r="T3" s="180">
        <v>23</v>
      </c>
      <c r="U3" s="178">
        <v>24</v>
      </c>
      <c r="V3" s="179">
        <v>25</v>
      </c>
      <c r="W3" s="181"/>
      <c r="X3" s="179"/>
      <c r="Y3" s="178"/>
      <c r="Z3" s="179"/>
    </row>
    <row r="4" spans="1:26">
      <c r="A4" s="174"/>
      <c r="B4" s="174"/>
      <c r="C4" s="174"/>
      <c r="D4" s="182"/>
      <c r="F4" s="182"/>
      <c r="G4" s="174"/>
      <c r="H4" s="182"/>
      <c r="I4" s="174"/>
      <c r="J4" s="182"/>
      <c r="K4" s="174"/>
      <c r="L4" s="182"/>
      <c r="M4" s="174"/>
      <c r="N4" s="182"/>
      <c r="O4" s="174"/>
      <c r="P4" s="182"/>
      <c r="Q4" s="174"/>
      <c r="R4" s="182"/>
      <c r="U4" s="174"/>
      <c r="V4" s="174"/>
    </row>
    <row r="5" ht="12.75" customHeight="1" spans="1:26">
      <c r="A5" s="174"/>
      <c r="B5" s="183"/>
      <c r="C5" s="183"/>
      <c r="D5" s="184" t="s">
        <v>221</v>
      </c>
      <c r="E5" s="185"/>
      <c r="F5" s="184" t="s">
        <v>222</v>
      </c>
      <c r="G5" s="185"/>
      <c r="H5" s="184" t="s">
        <v>223</v>
      </c>
      <c r="I5" s="185"/>
      <c r="J5" s="184" t="s">
        <v>224</v>
      </c>
      <c r="K5" s="185"/>
      <c r="L5" s="184" t="s">
        <v>250</v>
      </c>
      <c r="M5" s="185"/>
      <c r="N5" s="184" t="s">
        <v>251</v>
      </c>
      <c r="O5" s="185"/>
      <c r="P5" s="184" t="s">
        <v>252</v>
      </c>
      <c r="Q5" s="185"/>
      <c r="R5" s="184" t="s">
        <v>253</v>
      </c>
      <c r="S5" s="185"/>
      <c r="T5" s="184" t="s">
        <v>254</v>
      </c>
      <c r="U5" s="185"/>
      <c r="V5" s="174"/>
    </row>
    <row r="6" ht="21" spans="1:26">
      <c r="A6" s="174"/>
      <c r="B6" s="186" t="s">
        <v>233</v>
      </c>
      <c r="C6" s="186" t="s">
        <v>234</v>
      </c>
      <c r="D6" s="186" t="s">
        <v>235</v>
      </c>
      <c r="E6" s="186" t="s">
        <v>204</v>
      </c>
      <c r="F6" s="186" t="s">
        <v>235</v>
      </c>
      <c r="G6" s="186" t="s">
        <v>204</v>
      </c>
      <c r="H6" s="186" t="s">
        <v>235</v>
      </c>
      <c r="I6" s="186" t="s">
        <v>204</v>
      </c>
      <c r="J6" s="186" t="s">
        <v>235</v>
      </c>
      <c r="K6" s="186" t="s">
        <v>204</v>
      </c>
      <c r="L6" s="186" t="s">
        <v>235</v>
      </c>
      <c r="M6" s="186" t="s">
        <v>204</v>
      </c>
      <c r="N6" s="186" t="s">
        <v>82</v>
      </c>
      <c r="O6" s="186" t="s">
        <v>204</v>
      </c>
      <c r="P6" s="186" t="s">
        <v>235</v>
      </c>
      <c r="Q6" s="186" t="s">
        <v>204</v>
      </c>
      <c r="R6" s="186" t="s">
        <v>235</v>
      </c>
      <c r="S6" s="186" t="s">
        <v>204</v>
      </c>
      <c r="T6" s="186" t="s">
        <v>235</v>
      </c>
      <c r="U6" s="186" t="s">
        <v>204</v>
      </c>
      <c r="V6" s="186" t="s">
        <v>239</v>
      </c>
      <c r="W6" s="187" t="s">
        <v>255</v>
      </c>
      <c r="X6" s="188"/>
    </row>
    <row r="7" spans="1:26">
      <c r="B7" s="189">
        <f>+Remuneración!B8</f>
        <v>1</v>
      </c>
      <c r="C7" s="189" t="str">
        <f>+Remuneración!C8</f>
        <v>ARANIBAR CLAUDIA CRISTINA</v>
      </c>
      <c r="D7" s="190">
        <f>+'Ret. y no Rem.'!D7</f>
        <v>0.11</v>
      </c>
      <c r="E7" s="191">
        <f>D7*(Remuneración!$AL8+Remuneración!$AN8)</f>
        <v>0</v>
      </c>
      <c r="F7" s="190">
        <f>+'Ret. y no Rem.'!F7</f>
        <v>0.03</v>
      </c>
      <c r="G7" s="191">
        <f>F7*(Remuneración!$AL8+Remuneración!$AN8)</f>
        <v>0</v>
      </c>
      <c r="H7" s="190">
        <f>+'Ret. y no Rem.'!H7</f>
        <v>0.03</v>
      </c>
      <c r="I7" s="191">
        <f>H7*(Remuneración!$AL8+Remuneración!$AN8)</f>
        <v>0</v>
      </c>
      <c r="J7" s="190">
        <f>+'Ret. y no Rem.'!J7</f>
        <v>0</v>
      </c>
      <c r="K7" s="191">
        <f>J7*(Remuneración!$AL8+Remuneración!$AN8)</f>
        <v>0</v>
      </c>
      <c r="L7" s="190">
        <f>+'Ret. y no Rem.'!L7</f>
        <v>0</v>
      </c>
      <c r="M7" s="191">
        <f>L7*(Remuneración!$AL8+Remuneración!$AN8)</f>
        <v>0</v>
      </c>
      <c r="N7" s="190">
        <f>'Ret. y no Rem.'!R7</f>
        <v>0.005</v>
      </c>
      <c r="O7" s="191">
        <f>N7*(Remuneración!$AL8+Remuneración!$AN8)</f>
        <v>0</v>
      </c>
      <c r="P7" s="190">
        <f>'Ret. y no Rem.'!T7</f>
        <v>0</v>
      </c>
      <c r="Q7" s="191">
        <f>P7*(Remuneración!$AL8+Remuneración!$AN8)</f>
        <v>0</v>
      </c>
      <c r="R7" s="190">
        <f>'Ret. y no Rem.'!V7</f>
        <v>0</v>
      </c>
      <c r="S7" s="191">
        <f>R7*(Remuneración!$AL8+Remuneración!$AN8)</f>
        <v>0</v>
      </c>
      <c r="T7" s="190">
        <f>'Ret. y no Rem.'!X7</f>
        <v>0</v>
      </c>
      <c r="U7" s="191">
        <f>T7*(Remuneración!$AL8+Remuneración!$AN8)</f>
        <v>0</v>
      </c>
      <c r="V7" s="192">
        <f>+E7+G7+I7+K7+M7+S7+U7+O7+Q7</f>
        <v>0</v>
      </c>
      <c r="W7" s="193" t="e">
        <f>+#REF!-V7+Remuneración!AP8</f>
        <v>#REF!</v>
      </c>
      <c r="X7" s="188"/>
    </row>
    <row r="8" spans="1:26">
      <c r="B8" s="189">
        <f>+Remuneración!B9</f>
        <v>2</v>
      </c>
      <c r="C8" s="189" t="str">
        <f>+Remuneración!C9</f>
        <v>QUIROGA VANINA LEONELA</v>
      </c>
      <c r="D8" s="190">
        <f>+'Ret. y no Rem.'!D8</f>
        <v>0.11</v>
      </c>
      <c r="E8" s="191">
        <f>D8*(Remuneración!$AL9+Remuneración!$AN9)</f>
        <v>0</v>
      </c>
      <c r="F8" s="190">
        <f>+'Ret. y no Rem.'!F8</f>
        <v>0.03</v>
      </c>
      <c r="G8" s="191">
        <f>F8*(Remuneración!$AL9+Remuneración!$AN9)</f>
        <v>0</v>
      </c>
      <c r="H8" s="190">
        <f>+'Ret. y no Rem.'!H8</f>
        <v>0.03</v>
      </c>
      <c r="I8" s="191">
        <f>H8*(Remuneración!$AL9+Remuneración!$AN9)</f>
        <v>0</v>
      </c>
      <c r="J8" s="190">
        <f>+'Ret. y no Rem.'!J8</f>
        <v>0</v>
      </c>
      <c r="K8" s="191">
        <f>J8*(Remuneración!$AL9+Remuneración!$AN9)</f>
        <v>0</v>
      </c>
      <c r="L8" s="190">
        <f>+'Ret. y no Rem.'!L8</f>
        <v>0</v>
      </c>
      <c r="M8" s="191">
        <f>L8*(Remuneración!$AL9+Remuneración!$AN9)</f>
        <v>0</v>
      </c>
      <c r="N8" s="190">
        <f>'Ret. y no Rem.'!R8</f>
        <v>0</v>
      </c>
      <c r="O8" s="191">
        <f>N8*(Remuneración!$AL9+Remuneración!$AN9)</f>
        <v>0</v>
      </c>
      <c r="P8" s="190">
        <f>'Ret. y no Rem.'!T8</f>
        <v>0</v>
      </c>
      <c r="Q8" s="191">
        <f>P8*(Remuneración!$AL9+Remuneración!$AN9)</f>
        <v>0</v>
      </c>
      <c r="R8" s="190">
        <f>'Ret. y no Rem.'!V8</f>
        <v>0</v>
      </c>
      <c r="S8" s="191">
        <f>R8*(Remuneración!$AL9+Remuneración!$AN9)</f>
        <v>0</v>
      </c>
      <c r="T8" s="190">
        <f>'Ret. y no Rem.'!X8</f>
        <v>0</v>
      </c>
      <c r="U8" s="191">
        <f>T8*(Remuneración!$AL9+Remuneración!$AN9)</f>
        <v>0</v>
      </c>
      <c r="V8" s="192">
        <f t="shared" ref="V8:V56" si="0">+E8+G8+I8+K8+M8+S8+U8+O8+Q8</f>
        <v>0</v>
      </c>
      <c r="W8" s="193" t="e">
        <f>+#REF!-V8+Remuneración!AP9</f>
        <v>#REF!</v>
      </c>
      <c r="X8" s="188"/>
    </row>
    <row r="9" spans="1:26">
      <c r="B9" s="189" t="str">
        <f>+Remuneración!B10</f>
        <v/>
      </c>
      <c r="C9" s="189" t="str">
        <f>+Remuneración!C10</f>
        <v/>
      </c>
      <c r="D9" s="190">
        <f>+'Ret. y no Rem.'!D9</f>
        <v>0</v>
      </c>
      <c r="E9" s="191">
        <f>D9*(Remuneración!$AL10+Remuneración!$AN10)</f>
        <v>0</v>
      </c>
      <c r="F9" s="190">
        <f>+'Ret. y no Rem.'!F9</f>
        <v>0</v>
      </c>
      <c r="G9" s="191">
        <f>F9*(Remuneración!$AL10+Remuneración!$AN10)</f>
        <v>0</v>
      </c>
      <c r="H9" s="190">
        <f>+'Ret. y no Rem.'!H9</f>
        <v>0</v>
      </c>
      <c r="I9" s="191">
        <f>H9*(Remuneración!$AL10+Remuneración!$AN10)</f>
        <v>0</v>
      </c>
      <c r="J9" s="190">
        <f>+'Ret. y no Rem.'!J9</f>
        <v>0</v>
      </c>
      <c r="K9" s="191">
        <f>J9*(Remuneración!$AL10+Remuneración!$AN10)</f>
        <v>0</v>
      </c>
      <c r="L9" s="190">
        <f>+'Ret. y no Rem.'!L9</f>
        <v>0</v>
      </c>
      <c r="M9" s="191">
        <f>L9*(Remuneración!$AL10+Remuneración!$AN10)</f>
        <v>0</v>
      </c>
      <c r="N9" s="190">
        <f>'Ret. y no Rem.'!R9</f>
        <v>0</v>
      </c>
      <c r="O9" s="191">
        <f>N9*(Remuneración!$AL10+Remuneración!$AN10)</f>
        <v>0</v>
      </c>
      <c r="P9" s="190">
        <f>'Ret. y no Rem.'!T9</f>
        <v>0</v>
      </c>
      <c r="Q9" s="191">
        <f>P9*(Remuneración!$AL10+Remuneración!$AN10)</f>
        <v>0</v>
      </c>
      <c r="R9" s="190">
        <f>'Ret. y no Rem.'!V9</f>
        <v>0</v>
      </c>
      <c r="S9" s="191">
        <f>R9*(Remuneración!$AL10+Remuneración!$AN10)</f>
        <v>0</v>
      </c>
      <c r="T9" s="190">
        <f>'Ret. y no Rem.'!X9</f>
        <v>0</v>
      </c>
      <c r="U9" s="191">
        <f>T9*(Remuneración!$AL10+Remuneración!$AN10)</f>
        <v>0</v>
      </c>
      <c r="V9" s="192">
        <f t="shared" si="0"/>
        <v>0</v>
      </c>
      <c r="W9" s="193" t="e">
        <f>+#REF!-V9+Remuneración!AP10</f>
        <v>#REF!</v>
      </c>
      <c r="X9" s="188"/>
    </row>
    <row r="10" spans="1:26">
      <c r="B10" s="189" t="str">
        <f>+Remuneración!B11</f>
        <v/>
      </c>
      <c r="C10" s="189" t="str">
        <f>+Remuneración!C11</f>
        <v/>
      </c>
      <c r="D10" s="190">
        <f>+'Ret. y no Rem.'!D10</f>
        <v>0</v>
      </c>
      <c r="E10" s="191">
        <f>D10*(Remuneración!$AL11+Remuneración!$AN11)</f>
        <v>0</v>
      </c>
      <c r="F10" s="190">
        <f>+'Ret. y no Rem.'!F10</f>
        <v>0</v>
      </c>
      <c r="G10" s="191">
        <f>F10*(Remuneración!$AL11+Remuneración!$AN11)</f>
        <v>0</v>
      </c>
      <c r="H10" s="190">
        <f>+'Ret. y no Rem.'!H10</f>
        <v>0</v>
      </c>
      <c r="I10" s="191">
        <f>H10*(Remuneración!$AL11+Remuneración!$AN11)</f>
        <v>0</v>
      </c>
      <c r="J10" s="190">
        <f>+'Ret. y no Rem.'!J10</f>
        <v>0</v>
      </c>
      <c r="K10" s="191">
        <f>J10*(Remuneración!$AL11+Remuneración!$AN11)</f>
        <v>0</v>
      </c>
      <c r="L10" s="190">
        <f>+'Ret. y no Rem.'!L10</f>
        <v>0</v>
      </c>
      <c r="M10" s="191">
        <f>L10*(Remuneración!$AL11+Remuneración!$AN11)</f>
        <v>0</v>
      </c>
      <c r="N10" s="190">
        <f>'Ret. y no Rem.'!R10</f>
        <v>0</v>
      </c>
      <c r="O10" s="191">
        <f>N10*(Remuneración!$AL11+Remuneración!$AN11)</f>
        <v>0</v>
      </c>
      <c r="P10" s="190">
        <f>'Ret. y no Rem.'!T10</f>
        <v>0</v>
      </c>
      <c r="Q10" s="191">
        <f>P10*(Remuneración!$AL11+Remuneración!$AN11)</f>
        <v>0</v>
      </c>
      <c r="R10" s="190">
        <f>'Ret. y no Rem.'!V10</f>
        <v>0</v>
      </c>
      <c r="S10" s="191">
        <f>R10*(Remuneración!$AL11+Remuneración!$AN11)</f>
        <v>0</v>
      </c>
      <c r="T10" s="190">
        <f>'Ret. y no Rem.'!X10</f>
        <v>0</v>
      </c>
      <c r="U10" s="191">
        <f>T10*(Remuneración!$AL11+Remuneración!$AN11)</f>
        <v>0</v>
      </c>
      <c r="V10" s="192">
        <f t="shared" si="0"/>
        <v>0</v>
      </c>
      <c r="W10" s="193" t="e">
        <f>+#REF!-V10+Remuneración!AP11</f>
        <v>#REF!</v>
      </c>
      <c r="X10" s="188"/>
    </row>
    <row r="11" spans="1:26">
      <c r="B11" s="189" t="str">
        <f>+Remuneración!B12</f>
        <v/>
      </c>
      <c r="C11" s="189" t="str">
        <f>+Remuneración!C12</f>
        <v/>
      </c>
      <c r="D11" s="190">
        <f>+'Ret. y no Rem.'!D11</f>
        <v>0</v>
      </c>
      <c r="E11" s="191">
        <f>D11*(Remuneración!$AL12+Remuneración!$AN12)</f>
        <v>0</v>
      </c>
      <c r="F11" s="190">
        <f>+'Ret. y no Rem.'!F11</f>
        <v>0</v>
      </c>
      <c r="G11" s="191">
        <f>F11*(Remuneración!$AL12+Remuneración!$AN12)</f>
        <v>0</v>
      </c>
      <c r="H11" s="190">
        <f>+'Ret. y no Rem.'!H11</f>
        <v>0</v>
      </c>
      <c r="I11" s="191">
        <f>H11*(Remuneración!$AL12+Remuneración!$AN12)</f>
        <v>0</v>
      </c>
      <c r="J11" s="190">
        <f>+'Ret. y no Rem.'!J11</f>
        <v>0</v>
      </c>
      <c r="K11" s="191">
        <f>J11*(Remuneración!$AL12+Remuneración!$AN12)</f>
        <v>0</v>
      </c>
      <c r="L11" s="190">
        <f>+'Ret. y no Rem.'!L11</f>
        <v>0</v>
      </c>
      <c r="M11" s="191">
        <f>L11*(Remuneración!$AL12+Remuneración!$AN12)</f>
        <v>0</v>
      </c>
      <c r="N11" s="190">
        <f>'Ret. y no Rem.'!R11</f>
        <v>0</v>
      </c>
      <c r="O11" s="191">
        <f>N11*(Remuneración!$AL12+Remuneración!$AN12)</f>
        <v>0</v>
      </c>
      <c r="P11" s="190">
        <f>'Ret. y no Rem.'!T11</f>
        <v>0</v>
      </c>
      <c r="Q11" s="191">
        <f>P11*(Remuneración!$AL12+Remuneración!$AN12)</f>
        <v>0</v>
      </c>
      <c r="R11" s="190">
        <f>'Ret. y no Rem.'!V11</f>
        <v>0</v>
      </c>
      <c r="S11" s="191">
        <f>R11*(Remuneración!$AL12+Remuneración!$AN12)</f>
        <v>0</v>
      </c>
      <c r="T11" s="190">
        <f>'Ret. y no Rem.'!X11</f>
        <v>0</v>
      </c>
      <c r="U11" s="191">
        <f>T11*(Remuneración!$AL12+Remuneración!$AN12)</f>
        <v>0</v>
      </c>
      <c r="V11" s="192">
        <f t="shared" si="0"/>
        <v>0</v>
      </c>
      <c r="W11" s="193" t="e">
        <f>+#REF!-V11+Remuneración!AP12</f>
        <v>#REF!</v>
      </c>
      <c r="X11" s="188"/>
    </row>
    <row r="12" spans="1:26">
      <c r="B12" s="189" t="str">
        <f>+Remuneración!B13</f>
        <v/>
      </c>
      <c r="C12" s="189" t="str">
        <f>+Remuneración!C13</f>
        <v/>
      </c>
      <c r="D12" s="190">
        <f>+'Ret. y no Rem.'!D12</f>
        <v>0</v>
      </c>
      <c r="E12" s="191">
        <f>D12*(Remuneración!$AL13+Remuneración!$AN13)</f>
        <v>0</v>
      </c>
      <c r="F12" s="190">
        <f>+'Ret. y no Rem.'!F12</f>
        <v>0</v>
      </c>
      <c r="G12" s="191">
        <f>F12*(Remuneración!$AL13+Remuneración!$AN13)</f>
        <v>0</v>
      </c>
      <c r="H12" s="190">
        <f>+'Ret. y no Rem.'!H12</f>
        <v>0</v>
      </c>
      <c r="I12" s="191">
        <f>H12*(Remuneración!$AL13+Remuneración!$AN13)</f>
        <v>0</v>
      </c>
      <c r="J12" s="190">
        <f>+'Ret. y no Rem.'!J12</f>
        <v>0</v>
      </c>
      <c r="K12" s="191">
        <f>J12*(Remuneración!$AL13+Remuneración!$AN13)</f>
        <v>0</v>
      </c>
      <c r="L12" s="190">
        <f>+'Ret. y no Rem.'!L12</f>
        <v>0</v>
      </c>
      <c r="M12" s="191">
        <f>L12*(Remuneración!$AL13+Remuneración!$AN13)</f>
        <v>0</v>
      </c>
      <c r="N12" s="190">
        <f>'Ret. y no Rem.'!R12</f>
        <v>0</v>
      </c>
      <c r="O12" s="191">
        <f>N12*(Remuneración!$AL13+Remuneración!$AN13)</f>
        <v>0</v>
      </c>
      <c r="P12" s="190">
        <f>'Ret. y no Rem.'!T12</f>
        <v>0</v>
      </c>
      <c r="Q12" s="191">
        <f>P12*(Remuneración!$AL13+Remuneración!$AN13)</f>
        <v>0</v>
      </c>
      <c r="R12" s="190">
        <f>'Ret. y no Rem.'!V12</f>
        <v>0</v>
      </c>
      <c r="S12" s="191">
        <f>R12*(Remuneración!$AL13+Remuneración!$AN13)</f>
        <v>0</v>
      </c>
      <c r="T12" s="190">
        <f>'Ret. y no Rem.'!X12</f>
        <v>0</v>
      </c>
      <c r="U12" s="191">
        <f>T12*(Remuneración!$AL13+Remuneración!$AN13)</f>
        <v>0</v>
      </c>
      <c r="V12" s="192">
        <f t="shared" si="0"/>
        <v>0</v>
      </c>
      <c r="W12" s="193" t="e">
        <f>+#REF!-V12+Remuneración!AP13</f>
        <v>#REF!</v>
      </c>
    </row>
    <row r="13" spans="1:26">
      <c r="B13" s="189" t="str">
        <f>+Remuneración!B14</f>
        <v/>
      </c>
      <c r="C13" s="189" t="str">
        <f>+Remuneración!C14</f>
        <v/>
      </c>
      <c r="D13" s="190">
        <f>+'Ret. y no Rem.'!D13</f>
        <v>0</v>
      </c>
      <c r="E13" s="191">
        <f>D13*(Remuneración!$AL14+Remuneración!$AN14)</f>
        <v>0</v>
      </c>
      <c r="F13" s="190">
        <f>+'Ret. y no Rem.'!F13</f>
        <v>0</v>
      </c>
      <c r="G13" s="191">
        <f>F13*(Remuneración!$AL14+Remuneración!$AN14)</f>
        <v>0</v>
      </c>
      <c r="H13" s="190">
        <f>+'Ret. y no Rem.'!H13</f>
        <v>0</v>
      </c>
      <c r="I13" s="191">
        <f>H13*(Remuneración!$AL14+Remuneración!$AN14)</f>
        <v>0</v>
      </c>
      <c r="J13" s="190">
        <f>+'Ret. y no Rem.'!J13</f>
        <v>0</v>
      </c>
      <c r="K13" s="191">
        <f>J13*(Remuneración!$AL14+Remuneración!$AN14)</f>
        <v>0</v>
      </c>
      <c r="L13" s="190">
        <f>+'Ret. y no Rem.'!L13</f>
        <v>0</v>
      </c>
      <c r="M13" s="191">
        <f>L13*(Remuneración!$AL14+Remuneración!$AN14)</f>
        <v>0</v>
      </c>
      <c r="N13" s="190">
        <f>'Ret. y no Rem.'!R13</f>
        <v>0</v>
      </c>
      <c r="O13" s="191">
        <f>N13*(Remuneración!$AL14+Remuneración!$AN14)</f>
        <v>0</v>
      </c>
      <c r="P13" s="190">
        <f>'Ret. y no Rem.'!T13</f>
        <v>0</v>
      </c>
      <c r="Q13" s="191">
        <f>P13*(Remuneración!$AL14+Remuneración!$AN14)</f>
        <v>0</v>
      </c>
      <c r="R13" s="190">
        <f>'Ret. y no Rem.'!V13</f>
        <v>0</v>
      </c>
      <c r="S13" s="191">
        <f>R13*(Remuneración!$AL14+Remuneración!$AN14)</f>
        <v>0</v>
      </c>
      <c r="T13" s="190">
        <f>'Ret. y no Rem.'!X13</f>
        <v>0</v>
      </c>
      <c r="U13" s="191">
        <f>T13*(Remuneración!$AL14+Remuneración!$AN14)</f>
        <v>0</v>
      </c>
      <c r="V13" s="192">
        <f t="shared" si="0"/>
        <v>0</v>
      </c>
      <c r="W13" s="193" t="e">
        <f>+#REF!-V13+Remuneración!AP14</f>
        <v>#REF!</v>
      </c>
    </row>
    <row r="14" spans="1:26">
      <c r="B14" s="189" t="str">
        <f>+Remuneración!B15</f>
        <v/>
      </c>
      <c r="C14" s="189" t="str">
        <f>+Remuneración!C15</f>
        <v/>
      </c>
      <c r="D14" s="190">
        <f>+'Ret. y no Rem.'!D14</f>
        <v>0</v>
      </c>
      <c r="E14" s="191">
        <f>D14*(Remuneración!$AL15+Remuneración!$AN15)</f>
        <v>0</v>
      </c>
      <c r="F14" s="190">
        <f>+'Ret. y no Rem.'!F14</f>
        <v>0</v>
      </c>
      <c r="G14" s="191">
        <f>F14*(Remuneración!$AL15+Remuneración!$AN15)</f>
        <v>0</v>
      </c>
      <c r="H14" s="190">
        <f>+'Ret. y no Rem.'!H14</f>
        <v>0</v>
      </c>
      <c r="I14" s="191">
        <f>H14*(Remuneración!$AL15+Remuneración!$AN15)</f>
        <v>0</v>
      </c>
      <c r="J14" s="190">
        <f>+'Ret. y no Rem.'!J14</f>
        <v>0</v>
      </c>
      <c r="K14" s="191">
        <f>J14*(Remuneración!$AL15+Remuneración!$AN15)</f>
        <v>0</v>
      </c>
      <c r="L14" s="190">
        <f>+'Ret. y no Rem.'!L14</f>
        <v>0</v>
      </c>
      <c r="M14" s="191">
        <f>L14*(Remuneración!$AL15+Remuneración!$AN15)</f>
        <v>0</v>
      </c>
      <c r="N14" s="190">
        <f>'Ret. y no Rem.'!R14</f>
        <v>0</v>
      </c>
      <c r="O14" s="191">
        <f>N14*(Remuneración!$AL15+Remuneración!$AN15)</f>
        <v>0</v>
      </c>
      <c r="P14" s="190">
        <f>'Ret. y no Rem.'!T14</f>
        <v>0</v>
      </c>
      <c r="Q14" s="191">
        <f>P14*(Remuneración!$AL15+Remuneración!$AN15)</f>
        <v>0</v>
      </c>
      <c r="R14" s="190">
        <f>'Ret. y no Rem.'!V14</f>
        <v>0</v>
      </c>
      <c r="S14" s="191">
        <f>R14*(Remuneración!$AL15+Remuneración!$AN15)</f>
        <v>0</v>
      </c>
      <c r="T14" s="190">
        <f>'Ret. y no Rem.'!X14</f>
        <v>0</v>
      </c>
      <c r="U14" s="191">
        <f>T14*(Remuneración!$AL15+Remuneración!$AN15)</f>
        <v>0</v>
      </c>
      <c r="V14" s="192">
        <f t="shared" si="0"/>
        <v>0</v>
      </c>
      <c r="W14" s="193" t="e">
        <f>+#REF!-V14+Remuneración!AP15</f>
        <v>#REF!</v>
      </c>
    </row>
    <row r="15" spans="1:26">
      <c r="B15" s="189" t="str">
        <f>+Remuneración!B16</f>
        <v/>
      </c>
      <c r="C15" s="189" t="str">
        <f>+Remuneración!C16</f>
        <v/>
      </c>
      <c r="D15" s="190">
        <f>+'Ret. y no Rem.'!D15</f>
        <v>0</v>
      </c>
      <c r="E15" s="191">
        <f>D15*(Remuneración!$AL16+Remuneración!$AN16)</f>
        <v>0</v>
      </c>
      <c r="F15" s="190">
        <f>+'Ret. y no Rem.'!F15</f>
        <v>0</v>
      </c>
      <c r="G15" s="191">
        <f>F15*(Remuneración!$AL16+Remuneración!$AN16)</f>
        <v>0</v>
      </c>
      <c r="H15" s="190">
        <f>+'Ret. y no Rem.'!H15</f>
        <v>0</v>
      </c>
      <c r="I15" s="191">
        <f>H15*(Remuneración!$AL16+Remuneración!$AN16)</f>
        <v>0</v>
      </c>
      <c r="J15" s="190">
        <f>+'Ret. y no Rem.'!J15</f>
        <v>0</v>
      </c>
      <c r="K15" s="191">
        <f>J15*(Remuneración!$AL16+Remuneración!$AN16)</f>
        <v>0</v>
      </c>
      <c r="L15" s="190">
        <f>+'Ret. y no Rem.'!L15</f>
        <v>0</v>
      </c>
      <c r="M15" s="191">
        <f>L15*(Remuneración!$AL16+Remuneración!$AN16)</f>
        <v>0</v>
      </c>
      <c r="N15" s="190">
        <f>'Ret. y no Rem.'!R15</f>
        <v>0</v>
      </c>
      <c r="O15" s="191">
        <f>N15*(Remuneración!$AL16+Remuneración!$AN16)</f>
        <v>0</v>
      </c>
      <c r="P15" s="190">
        <f>'Ret. y no Rem.'!T15</f>
        <v>0</v>
      </c>
      <c r="Q15" s="191">
        <f>P15*(Remuneración!$AL16+Remuneración!$AN16)</f>
        <v>0</v>
      </c>
      <c r="R15" s="190">
        <f>'Ret. y no Rem.'!V15</f>
        <v>0</v>
      </c>
      <c r="S15" s="191">
        <f>R15*(Remuneración!$AL16+Remuneración!$AN16)</f>
        <v>0</v>
      </c>
      <c r="T15" s="190">
        <f>'Ret. y no Rem.'!X15</f>
        <v>0</v>
      </c>
      <c r="U15" s="191">
        <f>T15*(Remuneración!$AL16+Remuneración!$AN16)</f>
        <v>0</v>
      </c>
      <c r="V15" s="192">
        <f t="shared" si="0"/>
        <v>0</v>
      </c>
      <c r="W15" s="193" t="e">
        <f>+#REF!-V15+Remuneración!AP16</f>
        <v>#REF!</v>
      </c>
    </row>
    <row r="16" spans="1:26">
      <c r="B16" s="189" t="str">
        <f>+Remuneración!B17</f>
        <v/>
      </c>
      <c r="C16" s="189" t="str">
        <f>+Remuneración!C17</f>
        <v/>
      </c>
      <c r="D16" s="190">
        <f>+'Ret. y no Rem.'!D16</f>
        <v>0</v>
      </c>
      <c r="E16" s="191">
        <f>D16*(Remuneración!$AL17+Remuneración!$AN17)</f>
        <v>0</v>
      </c>
      <c r="F16" s="190">
        <f>+'Ret. y no Rem.'!F16</f>
        <v>0</v>
      </c>
      <c r="G16" s="191">
        <f>F16*(Remuneración!$AL17+Remuneración!$AN17)</f>
        <v>0</v>
      </c>
      <c r="H16" s="190">
        <f>+'Ret. y no Rem.'!H16</f>
        <v>0</v>
      </c>
      <c r="I16" s="191">
        <f>H16*(Remuneración!$AL17+Remuneración!$AN17)</f>
        <v>0</v>
      </c>
      <c r="J16" s="190">
        <f>+'Ret. y no Rem.'!J16</f>
        <v>0</v>
      </c>
      <c r="K16" s="191">
        <f>J16*(Remuneración!$AL17+Remuneración!$AN17)</f>
        <v>0</v>
      </c>
      <c r="L16" s="190">
        <f>+'Ret. y no Rem.'!L16</f>
        <v>0</v>
      </c>
      <c r="M16" s="191">
        <f>L16*(Remuneración!$AL17+Remuneración!$AN17)</f>
        <v>0</v>
      </c>
      <c r="N16" s="190">
        <f>'Ret. y no Rem.'!R16</f>
        <v>0</v>
      </c>
      <c r="O16" s="191">
        <f>N16*(Remuneración!$AL17+Remuneración!$AN17)</f>
        <v>0</v>
      </c>
      <c r="P16" s="190">
        <f>'Ret. y no Rem.'!T16</f>
        <v>0</v>
      </c>
      <c r="Q16" s="191">
        <f>P16*(Remuneración!$AL17+Remuneración!$AN17)</f>
        <v>0</v>
      </c>
      <c r="R16" s="190">
        <f>'Ret. y no Rem.'!V16</f>
        <v>0</v>
      </c>
      <c r="S16" s="191">
        <f>R16*(Remuneración!$AL17+Remuneración!$AN17)</f>
        <v>0</v>
      </c>
      <c r="T16" s="190">
        <f>'Ret. y no Rem.'!X16</f>
        <v>0</v>
      </c>
      <c r="U16" s="191">
        <f>T16*(Remuneración!$AL17+Remuneración!$AN17)</f>
        <v>0</v>
      </c>
      <c r="V16" s="192">
        <f t="shared" si="0"/>
        <v>0</v>
      </c>
      <c r="W16" s="193" t="e">
        <f>+#REF!-V16+Remuneración!AP17</f>
        <v>#REF!</v>
      </c>
    </row>
    <row r="17" spans="2:23">
      <c r="B17" s="189" t="str">
        <f>+Remuneración!B18</f>
        <v/>
      </c>
      <c r="C17" s="189" t="str">
        <f>+Remuneración!C18</f>
        <v/>
      </c>
      <c r="D17" s="190">
        <f>+'Ret. y no Rem.'!D17</f>
        <v>0</v>
      </c>
      <c r="E17" s="191">
        <f>D17*(Remuneración!$AL18+Remuneración!$AN18)</f>
        <v>0</v>
      </c>
      <c r="F17" s="190">
        <f>+'Ret. y no Rem.'!F17</f>
        <v>0</v>
      </c>
      <c r="G17" s="191">
        <f>F17*(Remuneración!$AL18+Remuneración!$AN18)</f>
        <v>0</v>
      </c>
      <c r="H17" s="190">
        <f>+'Ret. y no Rem.'!H17</f>
        <v>0</v>
      </c>
      <c r="I17" s="191">
        <f>H17*(Remuneración!$AL18+Remuneración!$AN18)</f>
        <v>0</v>
      </c>
      <c r="J17" s="190">
        <f>+'Ret. y no Rem.'!J17</f>
        <v>0</v>
      </c>
      <c r="K17" s="191">
        <f>J17*(Remuneración!$AL18+Remuneración!$AN18)</f>
        <v>0</v>
      </c>
      <c r="L17" s="190">
        <f>+'Ret. y no Rem.'!L17</f>
        <v>0</v>
      </c>
      <c r="M17" s="191">
        <f>L17*(Remuneración!$AL18+Remuneración!$AN18)</f>
        <v>0</v>
      </c>
      <c r="N17" s="190">
        <f>'Ret. y no Rem.'!R17</f>
        <v>0</v>
      </c>
      <c r="O17" s="191">
        <f>N17*(Remuneración!$AL18+Remuneración!$AN18)</f>
        <v>0</v>
      </c>
      <c r="P17" s="190">
        <f>'Ret. y no Rem.'!T17</f>
        <v>0</v>
      </c>
      <c r="Q17" s="191">
        <f>P17*(Remuneración!$AL18+Remuneración!$AN18)</f>
        <v>0</v>
      </c>
      <c r="R17" s="190">
        <f>'Ret. y no Rem.'!V17</f>
        <v>0</v>
      </c>
      <c r="S17" s="191">
        <f>R17*(Remuneración!$AL18+Remuneración!$AN18)</f>
        <v>0</v>
      </c>
      <c r="T17" s="190">
        <f>'Ret. y no Rem.'!X17</f>
        <v>0</v>
      </c>
      <c r="U17" s="191">
        <f>T17*(Remuneración!$AL18+Remuneración!$AN18)</f>
        <v>0</v>
      </c>
      <c r="V17" s="192">
        <f t="shared" si="0"/>
        <v>0</v>
      </c>
      <c r="W17" s="193" t="e">
        <f>+#REF!-V17+Remuneración!AP18</f>
        <v>#REF!</v>
      </c>
    </row>
    <row r="18" spans="2:23">
      <c r="B18" s="189" t="str">
        <f>+Remuneración!B19</f>
        <v/>
      </c>
      <c r="C18" s="189" t="str">
        <f>+Remuneración!C19</f>
        <v/>
      </c>
      <c r="D18" s="190">
        <f>+'Ret. y no Rem.'!D18</f>
        <v>0</v>
      </c>
      <c r="E18" s="191">
        <f>D18*(Remuneración!$AL19+Remuneración!$AN19)</f>
        <v>0</v>
      </c>
      <c r="F18" s="190">
        <f>+'Ret. y no Rem.'!F18</f>
        <v>0</v>
      </c>
      <c r="G18" s="191">
        <f>F18*(Remuneración!$AL19+Remuneración!$AN19)</f>
        <v>0</v>
      </c>
      <c r="H18" s="190">
        <f>+'Ret. y no Rem.'!H18</f>
        <v>0</v>
      </c>
      <c r="I18" s="191">
        <f>H18*(Remuneración!$AL19+Remuneración!$AN19)</f>
        <v>0</v>
      </c>
      <c r="J18" s="190">
        <f>+'Ret. y no Rem.'!J18</f>
        <v>0</v>
      </c>
      <c r="K18" s="191">
        <f>J18*(Remuneración!$AL19+Remuneración!$AN19)</f>
        <v>0</v>
      </c>
      <c r="L18" s="190">
        <f>+'Ret. y no Rem.'!L18</f>
        <v>0</v>
      </c>
      <c r="M18" s="191">
        <f>L18*(Remuneración!$AL19+Remuneración!$AN19)</f>
        <v>0</v>
      </c>
      <c r="N18" s="190">
        <f>'Ret. y no Rem.'!R18</f>
        <v>0</v>
      </c>
      <c r="O18" s="191">
        <f>N18*(Remuneración!$AL19+Remuneración!$AN19)</f>
        <v>0</v>
      </c>
      <c r="P18" s="190">
        <f>'Ret. y no Rem.'!T18</f>
        <v>0</v>
      </c>
      <c r="Q18" s="191">
        <f>P18*(Remuneración!$AL19+Remuneración!$AN19)</f>
        <v>0</v>
      </c>
      <c r="R18" s="190">
        <f>'Ret. y no Rem.'!V18</f>
        <v>0</v>
      </c>
      <c r="S18" s="191">
        <f>R18*(Remuneración!$AL19+Remuneración!$AN19)</f>
        <v>0</v>
      </c>
      <c r="T18" s="190">
        <f>'Ret. y no Rem.'!X18</f>
        <v>0</v>
      </c>
      <c r="U18" s="191">
        <f>T18*(Remuneración!$AL19+Remuneración!$AN19)</f>
        <v>0</v>
      </c>
      <c r="V18" s="192">
        <f t="shared" si="0"/>
        <v>0</v>
      </c>
      <c r="W18" s="193" t="e">
        <f>+#REF!-V18+Remuneración!AP19</f>
        <v>#REF!</v>
      </c>
    </row>
    <row r="19" spans="2:23">
      <c r="B19" s="189" t="str">
        <f>+Remuneración!B20</f>
        <v/>
      </c>
      <c r="C19" s="189" t="str">
        <f>+Remuneración!C20</f>
        <v/>
      </c>
      <c r="D19" s="190">
        <f>+'Ret. y no Rem.'!D19</f>
        <v>0</v>
      </c>
      <c r="E19" s="191">
        <f>D19*(Remuneración!$AL20+Remuneración!$AN20)</f>
        <v>0</v>
      </c>
      <c r="F19" s="190">
        <f>+'Ret. y no Rem.'!F19</f>
        <v>0</v>
      </c>
      <c r="G19" s="191">
        <f>F19*(Remuneración!$AL20+Remuneración!$AN20)</f>
        <v>0</v>
      </c>
      <c r="H19" s="190">
        <f>+'Ret. y no Rem.'!H19</f>
        <v>0</v>
      </c>
      <c r="I19" s="191">
        <f>H19*(Remuneración!$AL20+Remuneración!$AN20)</f>
        <v>0</v>
      </c>
      <c r="J19" s="190">
        <f>+'Ret. y no Rem.'!J19</f>
        <v>0</v>
      </c>
      <c r="K19" s="191">
        <f>J19*(Remuneración!$AL20+Remuneración!$AN20)</f>
        <v>0</v>
      </c>
      <c r="L19" s="190">
        <f>+'Ret. y no Rem.'!L19</f>
        <v>0</v>
      </c>
      <c r="M19" s="191">
        <f>L19*(Remuneración!$AL20+Remuneración!$AN20)</f>
        <v>0</v>
      </c>
      <c r="N19" s="190">
        <f>'Ret. y no Rem.'!R19</f>
        <v>0</v>
      </c>
      <c r="O19" s="191">
        <f>N19*(Remuneración!$AL20+Remuneración!$AN20)</f>
        <v>0</v>
      </c>
      <c r="P19" s="190">
        <f>'Ret. y no Rem.'!T19</f>
        <v>0</v>
      </c>
      <c r="Q19" s="191">
        <f>P19*(Remuneración!$AL20+Remuneración!$AN20)</f>
        <v>0</v>
      </c>
      <c r="R19" s="190">
        <f>'Ret. y no Rem.'!V19</f>
        <v>0</v>
      </c>
      <c r="S19" s="191">
        <f>R19*(Remuneración!$AL20+Remuneración!$AN20)</f>
        <v>0</v>
      </c>
      <c r="T19" s="190">
        <f>'Ret. y no Rem.'!X19</f>
        <v>0</v>
      </c>
      <c r="U19" s="191">
        <f>T19*(Remuneración!$AL20+Remuneración!$AN20)</f>
        <v>0</v>
      </c>
      <c r="V19" s="192">
        <f t="shared" si="0"/>
        <v>0</v>
      </c>
      <c r="W19" s="193" t="e">
        <f>+#REF!-V19+Remuneración!AP20</f>
        <v>#REF!</v>
      </c>
    </row>
    <row r="20" spans="2:23">
      <c r="B20" s="189" t="str">
        <f>+Remuneración!B21</f>
        <v/>
      </c>
      <c r="C20" s="189" t="str">
        <f>+Remuneración!C21</f>
        <v/>
      </c>
      <c r="D20" s="190">
        <f>+'Ret. y no Rem.'!D20</f>
        <v>0</v>
      </c>
      <c r="E20" s="191">
        <f>D20*(Remuneración!$AL21+Remuneración!$AN21)</f>
        <v>0</v>
      </c>
      <c r="F20" s="190">
        <f>+'Ret. y no Rem.'!F20</f>
        <v>0</v>
      </c>
      <c r="G20" s="191">
        <f>F20*(Remuneración!$AL21+Remuneración!$AN21)</f>
        <v>0</v>
      </c>
      <c r="H20" s="190">
        <f>+'Ret. y no Rem.'!H20</f>
        <v>0</v>
      </c>
      <c r="I20" s="191">
        <f>H20*(Remuneración!$AL21+Remuneración!$AN21)</f>
        <v>0</v>
      </c>
      <c r="J20" s="190">
        <f>+'Ret. y no Rem.'!J20</f>
        <v>0</v>
      </c>
      <c r="K20" s="191">
        <f>J20*(Remuneración!$AL21+Remuneración!$AN21)</f>
        <v>0</v>
      </c>
      <c r="L20" s="190">
        <f>+'Ret. y no Rem.'!L20</f>
        <v>0</v>
      </c>
      <c r="M20" s="191">
        <f>L20*(Remuneración!$AL21+Remuneración!$AN21)</f>
        <v>0</v>
      </c>
      <c r="N20" s="190">
        <f>'Ret. y no Rem.'!R20</f>
        <v>0</v>
      </c>
      <c r="O20" s="191">
        <f>N20*(Remuneración!$AL21+Remuneración!$AN21)</f>
        <v>0</v>
      </c>
      <c r="P20" s="190">
        <f>'Ret. y no Rem.'!T20</f>
        <v>0</v>
      </c>
      <c r="Q20" s="191">
        <f>P20*(Remuneración!$AL21+Remuneración!$AN21)</f>
        <v>0</v>
      </c>
      <c r="R20" s="190">
        <f>'Ret. y no Rem.'!V20</f>
        <v>0</v>
      </c>
      <c r="S20" s="191">
        <f>R20*(Remuneración!$AL21+Remuneración!$AN21)</f>
        <v>0</v>
      </c>
      <c r="T20" s="190">
        <f>'Ret. y no Rem.'!X20</f>
        <v>0</v>
      </c>
      <c r="U20" s="191">
        <f>T20*(Remuneración!$AL21+Remuneración!$AN21)</f>
        <v>0</v>
      </c>
      <c r="V20" s="192">
        <f t="shared" si="0"/>
        <v>0</v>
      </c>
      <c r="W20" s="193" t="e">
        <f>+#REF!-V20+Remuneración!AP21</f>
        <v>#REF!</v>
      </c>
    </row>
    <row r="21" spans="2:23">
      <c r="B21" s="189" t="str">
        <f>+Remuneración!B22</f>
        <v/>
      </c>
      <c r="C21" s="189" t="str">
        <f>+Remuneración!C22</f>
        <v/>
      </c>
      <c r="D21" s="190">
        <f>+'Ret. y no Rem.'!D21</f>
        <v>0</v>
      </c>
      <c r="E21" s="191">
        <f>D21*(Remuneración!$AL22+Remuneración!$AN22)</f>
        <v>0</v>
      </c>
      <c r="F21" s="190">
        <f>+'Ret. y no Rem.'!F21</f>
        <v>0</v>
      </c>
      <c r="G21" s="191">
        <f>F21*(Remuneración!$AL22+Remuneración!$AN22)</f>
        <v>0</v>
      </c>
      <c r="H21" s="190">
        <f>+'Ret. y no Rem.'!H21</f>
        <v>0</v>
      </c>
      <c r="I21" s="191">
        <f>H21*(Remuneración!$AL22+Remuneración!$AN22)</f>
        <v>0</v>
      </c>
      <c r="J21" s="190">
        <f>+'Ret. y no Rem.'!J21</f>
        <v>0</v>
      </c>
      <c r="K21" s="191">
        <f>J21*(Remuneración!$AL22+Remuneración!$AN22)</f>
        <v>0</v>
      </c>
      <c r="L21" s="190">
        <f>+'Ret. y no Rem.'!L21</f>
        <v>0</v>
      </c>
      <c r="M21" s="191">
        <f>L21*(Remuneración!$AL22+Remuneración!$AN22)</f>
        <v>0</v>
      </c>
      <c r="N21" s="190">
        <f>'Ret. y no Rem.'!R21</f>
        <v>0</v>
      </c>
      <c r="O21" s="191">
        <f>N21*(Remuneración!$AL22+Remuneración!$AN22)</f>
        <v>0</v>
      </c>
      <c r="P21" s="190">
        <f>'Ret. y no Rem.'!T21</f>
        <v>0</v>
      </c>
      <c r="Q21" s="191">
        <f>P21*(Remuneración!$AL22+Remuneración!$AN22)</f>
        <v>0</v>
      </c>
      <c r="R21" s="190">
        <f>'Ret. y no Rem.'!V21</f>
        <v>0</v>
      </c>
      <c r="S21" s="191">
        <f>R21*(Remuneración!$AL22+Remuneración!$AN22)</f>
        <v>0</v>
      </c>
      <c r="T21" s="190">
        <f>'Ret. y no Rem.'!X21</f>
        <v>0</v>
      </c>
      <c r="U21" s="191">
        <f>T21*(Remuneración!$AL22+Remuneración!$AN22)</f>
        <v>0</v>
      </c>
      <c r="V21" s="192">
        <f t="shared" si="0"/>
        <v>0</v>
      </c>
      <c r="W21" s="193" t="e">
        <f>+#REF!-V21+Remuneración!AP22</f>
        <v>#REF!</v>
      </c>
    </row>
    <row r="22" spans="2:23">
      <c r="B22" s="189" t="str">
        <f>+Remuneración!B23</f>
        <v/>
      </c>
      <c r="C22" s="189" t="str">
        <f>+Remuneración!C23</f>
        <v/>
      </c>
      <c r="D22" s="190">
        <f>+'Ret. y no Rem.'!D22</f>
        <v>0</v>
      </c>
      <c r="E22" s="191">
        <f>D22*(Remuneración!$AL23+Remuneración!$AN23)</f>
        <v>0</v>
      </c>
      <c r="F22" s="190">
        <f>+'Ret. y no Rem.'!F22</f>
        <v>0</v>
      </c>
      <c r="G22" s="191">
        <f>F22*(Remuneración!$AL23+Remuneración!$AN23)</f>
        <v>0</v>
      </c>
      <c r="H22" s="190">
        <f>+'Ret. y no Rem.'!H22</f>
        <v>0</v>
      </c>
      <c r="I22" s="191">
        <f>H22*(Remuneración!$AL23+Remuneración!$AN23)</f>
        <v>0</v>
      </c>
      <c r="J22" s="190">
        <f>+'Ret. y no Rem.'!J22</f>
        <v>0</v>
      </c>
      <c r="K22" s="191">
        <f>J22*(Remuneración!$AL23+Remuneración!$AN23)</f>
        <v>0</v>
      </c>
      <c r="L22" s="190">
        <f>+'Ret. y no Rem.'!L22</f>
        <v>0</v>
      </c>
      <c r="M22" s="191">
        <f>L22*(Remuneración!$AL23+Remuneración!$AN23)</f>
        <v>0</v>
      </c>
      <c r="N22" s="190">
        <f>'Ret. y no Rem.'!R22</f>
        <v>0</v>
      </c>
      <c r="O22" s="191">
        <f>N22*(Remuneración!$AL23+Remuneración!$AN23)</f>
        <v>0</v>
      </c>
      <c r="P22" s="190">
        <f>'Ret. y no Rem.'!T22</f>
        <v>0</v>
      </c>
      <c r="Q22" s="191">
        <f>P22*(Remuneración!$AL23+Remuneración!$AN23)</f>
        <v>0</v>
      </c>
      <c r="R22" s="190">
        <f>'Ret. y no Rem.'!V22</f>
        <v>0</v>
      </c>
      <c r="S22" s="191">
        <f>R22*(Remuneración!$AL23+Remuneración!$AN23)</f>
        <v>0</v>
      </c>
      <c r="T22" s="190">
        <f>'Ret. y no Rem.'!X22</f>
        <v>0</v>
      </c>
      <c r="U22" s="191">
        <f>T22*(Remuneración!$AL23+Remuneración!$AN23)</f>
        <v>0</v>
      </c>
      <c r="V22" s="192">
        <f t="shared" si="0"/>
        <v>0</v>
      </c>
      <c r="W22" s="193" t="e">
        <f>+#REF!-V22+Remuneración!AP23</f>
        <v>#REF!</v>
      </c>
    </row>
    <row r="23" spans="2:23">
      <c r="B23" s="189" t="str">
        <f>+Remuneración!B24</f>
        <v/>
      </c>
      <c r="C23" s="189" t="str">
        <f>+Remuneración!C24</f>
        <v/>
      </c>
      <c r="D23" s="190">
        <f>+'Ret. y no Rem.'!D23</f>
        <v>0</v>
      </c>
      <c r="E23" s="191">
        <f>D23*(Remuneración!$AL24+Remuneración!$AN24)</f>
        <v>0</v>
      </c>
      <c r="F23" s="190">
        <f>+'Ret. y no Rem.'!F23</f>
        <v>0</v>
      </c>
      <c r="G23" s="191">
        <f>F23*(Remuneración!$AL24+Remuneración!$AN24)</f>
        <v>0</v>
      </c>
      <c r="H23" s="190">
        <f>+'Ret. y no Rem.'!H23</f>
        <v>0</v>
      </c>
      <c r="I23" s="191">
        <f>H23*(Remuneración!$AL24+Remuneración!$AN24)</f>
        <v>0</v>
      </c>
      <c r="J23" s="190">
        <f>+'Ret. y no Rem.'!J23</f>
        <v>0</v>
      </c>
      <c r="K23" s="191">
        <f>J23*(Remuneración!$AL24+Remuneración!$AN24)</f>
        <v>0</v>
      </c>
      <c r="L23" s="190">
        <f>+'Ret. y no Rem.'!L23</f>
        <v>0</v>
      </c>
      <c r="M23" s="191">
        <f>L23*(Remuneración!$AL24+Remuneración!$AN24)</f>
        <v>0</v>
      </c>
      <c r="N23" s="190">
        <f>'Ret. y no Rem.'!R23</f>
        <v>0</v>
      </c>
      <c r="O23" s="191">
        <f>N23*(Remuneración!$AL24+Remuneración!$AN24)</f>
        <v>0</v>
      </c>
      <c r="P23" s="190">
        <f>'Ret. y no Rem.'!T23</f>
        <v>0</v>
      </c>
      <c r="Q23" s="191">
        <f>P23*(Remuneración!$AL24+Remuneración!$AN24)</f>
        <v>0</v>
      </c>
      <c r="R23" s="190">
        <f>'Ret. y no Rem.'!V23</f>
        <v>0</v>
      </c>
      <c r="S23" s="191">
        <f>R23*(Remuneración!$AL24+Remuneración!$AN24)</f>
        <v>0</v>
      </c>
      <c r="T23" s="190">
        <f>'Ret. y no Rem.'!X23</f>
        <v>0</v>
      </c>
      <c r="U23" s="191">
        <f>T23*(Remuneración!$AL24+Remuneración!$AN24)</f>
        <v>0</v>
      </c>
      <c r="V23" s="192">
        <f t="shared" si="0"/>
        <v>0</v>
      </c>
      <c r="W23" s="193" t="e">
        <f>+#REF!-V23+Remuneración!AP24</f>
        <v>#REF!</v>
      </c>
    </row>
    <row r="24" spans="2:23">
      <c r="B24" s="189" t="str">
        <f>+Remuneración!B25</f>
        <v/>
      </c>
      <c r="C24" s="189" t="str">
        <f>+Remuneración!C25</f>
        <v/>
      </c>
      <c r="D24" s="190">
        <f>+'Ret. y no Rem.'!D24</f>
        <v>0</v>
      </c>
      <c r="E24" s="191">
        <f>D24*(Remuneración!$AL25+Remuneración!$AN25)</f>
        <v>0</v>
      </c>
      <c r="F24" s="190">
        <f>+'Ret. y no Rem.'!F24</f>
        <v>0</v>
      </c>
      <c r="G24" s="191">
        <f>F24*(Remuneración!$AL25+Remuneración!$AN25)</f>
        <v>0</v>
      </c>
      <c r="H24" s="190">
        <f>+'Ret. y no Rem.'!H24</f>
        <v>0</v>
      </c>
      <c r="I24" s="191">
        <f>H24*(Remuneración!$AL25+Remuneración!$AN25)</f>
        <v>0</v>
      </c>
      <c r="J24" s="190">
        <f>+'Ret. y no Rem.'!J24</f>
        <v>0</v>
      </c>
      <c r="K24" s="191">
        <f>J24*(Remuneración!$AL25+Remuneración!$AN25)</f>
        <v>0</v>
      </c>
      <c r="L24" s="190">
        <f>+'Ret. y no Rem.'!L24</f>
        <v>0</v>
      </c>
      <c r="M24" s="191">
        <f>L24*(Remuneración!$AL25+Remuneración!$AN25)</f>
        <v>0</v>
      </c>
      <c r="N24" s="190">
        <f>'Ret. y no Rem.'!R24</f>
        <v>0</v>
      </c>
      <c r="O24" s="191">
        <f>N24*(Remuneración!$AL25+Remuneración!$AN25)</f>
        <v>0</v>
      </c>
      <c r="P24" s="190">
        <f>'Ret. y no Rem.'!T24</f>
        <v>0</v>
      </c>
      <c r="Q24" s="191">
        <f>P24*(Remuneración!$AL25+Remuneración!$AN25)</f>
        <v>0</v>
      </c>
      <c r="R24" s="190">
        <f>'Ret. y no Rem.'!V24</f>
        <v>0</v>
      </c>
      <c r="S24" s="191">
        <f>R24*(Remuneración!$AL25+Remuneración!$AN25)</f>
        <v>0</v>
      </c>
      <c r="T24" s="190">
        <f>'Ret. y no Rem.'!X24</f>
        <v>0</v>
      </c>
      <c r="U24" s="191">
        <f>T24*(Remuneración!$AL25+Remuneración!$AN25)</f>
        <v>0</v>
      </c>
      <c r="V24" s="192">
        <f t="shared" si="0"/>
        <v>0</v>
      </c>
      <c r="W24" s="193" t="e">
        <f>+#REF!-V24+Remuneración!AP25</f>
        <v>#REF!</v>
      </c>
    </row>
    <row r="25" spans="2:23">
      <c r="B25" s="189" t="str">
        <f>+Remuneración!B26</f>
        <v/>
      </c>
      <c r="C25" s="189" t="str">
        <f>+Remuneración!C26</f>
        <v/>
      </c>
      <c r="D25" s="190">
        <f>+'Ret. y no Rem.'!D25</f>
        <v>0</v>
      </c>
      <c r="E25" s="191">
        <f>D25*(Remuneración!$AL26+Remuneración!$AN26)</f>
        <v>0</v>
      </c>
      <c r="F25" s="190">
        <f>+'Ret. y no Rem.'!F25</f>
        <v>0</v>
      </c>
      <c r="G25" s="191">
        <f>F25*(Remuneración!$AL26+Remuneración!$AN26)</f>
        <v>0</v>
      </c>
      <c r="H25" s="190">
        <f>+'Ret. y no Rem.'!H25</f>
        <v>0</v>
      </c>
      <c r="I25" s="191">
        <f>H25*(Remuneración!$AL26+Remuneración!$AN26)</f>
        <v>0</v>
      </c>
      <c r="J25" s="190">
        <f>+'Ret. y no Rem.'!J25</f>
        <v>0</v>
      </c>
      <c r="K25" s="191">
        <f>J25*(Remuneración!$AL26+Remuneración!$AN26)</f>
        <v>0</v>
      </c>
      <c r="L25" s="190">
        <f>+'Ret. y no Rem.'!L25</f>
        <v>0</v>
      </c>
      <c r="M25" s="191">
        <f>L25*(Remuneración!$AL26+Remuneración!$AN26)</f>
        <v>0</v>
      </c>
      <c r="N25" s="190">
        <f>'Ret. y no Rem.'!R25</f>
        <v>0</v>
      </c>
      <c r="O25" s="191">
        <f>N25*(Remuneración!$AL26+Remuneración!$AN26)</f>
        <v>0</v>
      </c>
      <c r="P25" s="190">
        <f>'Ret. y no Rem.'!T25</f>
        <v>0</v>
      </c>
      <c r="Q25" s="191">
        <f>P25*(Remuneración!$AL26+Remuneración!$AN26)</f>
        <v>0</v>
      </c>
      <c r="R25" s="190">
        <f>'Ret. y no Rem.'!V25</f>
        <v>0</v>
      </c>
      <c r="S25" s="191">
        <f>R25*(Remuneración!$AL26+Remuneración!$AN26)</f>
        <v>0</v>
      </c>
      <c r="T25" s="190">
        <f>'Ret. y no Rem.'!X25</f>
        <v>0</v>
      </c>
      <c r="U25" s="191">
        <f>T25*(Remuneración!$AL26+Remuneración!$AN26)</f>
        <v>0</v>
      </c>
      <c r="V25" s="192">
        <f t="shared" si="0"/>
        <v>0</v>
      </c>
      <c r="W25" s="193" t="e">
        <f>+#REF!-V25+Remuneración!AP26</f>
        <v>#REF!</v>
      </c>
    </row>
    <row r="26" spans="2:23">
      <c r="B26" s="189" t="str">
        <f>+Remuneración!B27</f>
        <v/>
      </c>
      <c r="C26" s="189" t="str">
        <f>+Remuneración!C27</f>
        <v/>
      </c>
      <c r="D26" s="190">
        <f>+'Ret. y no Rem.'!D26</f>
        <v>0</v>
      </c>
      <c r="E26" s="191">
        <f>D26*(Remuneración!$AL27+Remuneración!$AN27)</f>
        <v>0</v>
      </c>
      <c r="F26" s="190">
        <f>+'Ret. y no Rem.'!F26</f>
        <v>0</v>
      </c>
      <c r="G26" s="191">
        <f>F26*(Remuneración!$AL27+Remuneración!$AN27)</f>
        <v>0</v>
      </c>
      <c r="H26" s="190">
        <f>+'Ret. y no Rem.'!H26</f>
        <v>0</v>
      </c>
      <c r="I26" s="191">
        <f>H26*(Remuneración!$AL27+Remuneración!$AN27)</f>
        <v>0</v>
      </c>
      <c r="J26" s="190">
        <f>+'Ret. y no Rem.'!J26</f>
        <v>0</v>
      </c>
      <c r="K26" s="191">
        <f>J26*(Remuneración!$AL27+Remuneración!$AN27)</f>
        <v>0</v>
      </c>
      <c r="L26" s="190">
        <f>+'Ret. y no Rem.'!L26</f>
        <v>0</v>
      </c>
      <c r="M26" s="191">
        <f>L26*(Remuneración!$AL27+Remuneración!$AN27)</f>
        <v>0</v>
      </c>
      <c r="N26" s="190">
        <f>'Ret. y no Rem.'!R26</f>
        <v>0</v>
      </c>
      <c r="O26" s="191">
        <f>N26*(Remuneración!$AL27+Remuneración!$AN27)</f>
        <v>0</v>
      </c>
      <c r="P26" s="190">
        <f>'Ret. y no Rem.'!T26</f>
        <v>0</v>
      </c>
      <c r="Q26" s="191">
        <f>P26*(Remuneración!$AL27+Remuneración!$AN27)</f>
        <v>0</v>
      </c>
      <c r="R26" s="190">
        <f>'Ret. y no Rem.'!V26</f>
        <v>0</v>
      </c>
      <c r="S26" s="191">
        <f>R26*(Remuneración!$AL27+Remuneración!$AN27)</f>
        <v>0</v>
      </c>
      <c r="T26" s="190">
        <f>'Ret. y no Rem.'!X26</f>
        <v>0</v>
      </c>
      <c r="U26" s="191">
        <f>T26*(Remuneración!$AL27+Remuneración!$AN27)</f>
        <v>0</v>
      </c>
      <c r="V26" s="192">
        <f t="shared" si="0"/>
        <v>0</v>
      </c>
      <c r="W26" s="193" t="e">
        <f>+#REF!-V26+Remuneración!AP27</f>
        <v>#REF!</v>
      </c>
    </row>
    <row r="27" spans="2:23">
      <c r="B27" s="189" t="str">
        <f>+Remuneración!B28</f>
        <v/>
      </c>
      <c r="C27" s="189" t="str">
        <f>+Remuneración!C28</f>
        <v/>
      </c>
      <c r="D27" s="190">
        <f>+'Ret. y no Rem.'!D27</f>
        <v>0</v>
      </c>
      <c r="E27" s="191">
        <f>D27*(Remuneración!$AL28+Remuneración!$AN28)</f>
        <v>0</v>
      </c>
      <c r="F27" s="190">
        <f>+'Ret. y no Rem.'!F27</f>
        <v>0</v>
      </c>
      <c r="G27" s="191">
        <f>F27*(Remuneración!$AL28+Remuneración!$AN28)</f>
        <v>0</v>
      </c>
      <c r="H27" s="190">
        <f>+'Ret. y no Rem.'!H27</f>
        <v>0</v>
      </c>
      <c r="I27" s="191">
        <f>H27*(Remuneración!$AL28+Remuneración!$AN28)</f>
        <v>0</v>
      </c>
      <c r="J27" s="190">
        <f>+'Ret. y no Rem.'!J27</f>
        <v>0</v>
      </c>
      <c r="K27" s="191">
        <f>J27*(Remuneración!$AL28+Remuneración!$AN28)</f>
        <v>0</v>
      </c>
      <c r="L27" s="190">
        <f>+'Ret. y no Rem.'!L27</f>
        <v>0</v>
      </c>
      <c r="M27" s="191">
        <f>L27*(Remuneración!$AL28+Remuneración!$AN28)</f>
        <v>0</v>
      </c>
      <c r="N27" s="190">
        <f>'Ret. y no Rem.'!R27</f>
        <v>0</v>
      </c>
      <c r="O27" s="191">
        <f>N27*(Remuneración!$AL28+Remuneración!$AN28)</f>
        <v>0</v>
      </c>
      <c r="P27" s="190">
        <f>'Ret. y no Rem.'!T27</f>
        <v>0</v>
      </c>
      <c r="Q27" s="191">
        <f>P27*(Remuneración!$AL28+Remuneración!$AN28)</f>
        <v>0</v>
      </c>
      <c r="R27" s="190">
        <f>'Ret. y no Rem.'!V27</f>
        <v>0</v>
      </c>
      <c r="S27" s="191">
        <f>R27*(Remuneración!$AL28+Remuneración!$AN28)</f>
        <v>0</v>
      </c>
      <c r="T27" s="190">
        <f>'Ret. y no Rem.'!X27</f>
        <v>0</v>
      </c>
      <c r="U27" s="191">
        <f>T27*(Remuneración!$AL28+Remuneración!$AN28)</f>
        <v>0</v>
      </c>
      <c r="V27" s="192">
        <f t="shared" si="0"/>
        <v>0</v>
      </c>
      <c r="W27" s="193" t="e">
        <f>+#REF!-V27+Remuneración!AP28</f>
        <v>#REF!</v>
      </c>
    </row>
    <row r="28" spans="2:23">
      <c r="B28" s="189" t="str">
        <f>+Remuneración!B29</f>
        <v/>
      </c>
      <c r="C28" s="189" t="str">
        <f>+Remuneración!C29</f>
        <v/>
      </c>
      <c r="D28" s="190">
        <f>+'Ret. y no Rem.'!D28</f>
        <v>0</v>
      </c>
      <c r="E28" s="191">
        <f>D28*(Remuneración!$AL29+Remuneración!$AN29)</f>
        <v>0</v>
      </c>
      <c r="F28" s="190">
        <f>+'Ret. y no Rem.'!F28</f>
        <v>0</v>
      </c>
      <c r="G28" s="191">
        <f>F28*(Remuneración!$AL29+Remuneración!$AN29)</f>
        <v>0</v>
      </c>
      <c r="H28" s="190">
        <f>+'Ret. y no Rem.'!H28</f>
        <v>0</v>
      </c>
      <c r="I28" s="191">
        <f>H28*(Remuneración!$AL29+Remuneración!$AN29)</f>
        <v>0</v>
      </c>
      <c r="J28" s="190">
        <f>+'Ret. y no Rem.'!J28</f>
        <v>0</v>
      </c>
      <c r="K28" s="191">
        <f>J28*(Remuneración!$AL29+Remuneración!$AN29)</f>
        <v>0</v>
      </c>
      <c r="L28" s="190">
        <f>+'Ret. y no Rem.'!L28</f>
        <v>0</v>
      </c>
      <c r="M28" s="191">
        <f>L28*(Remuneración!$AL29+Remuneración!$AN29)</f>
        <v>0</v>
      </c>
      <c r="N28" s="190">
        <f>'Ret. y no Rem.'!R28</f>
        <v>0</v>
      </c>
      <c r="O28" s="191">
        <f>N28*(Remuneración!$AL29+Remuneración!$AN29)</f>
        <v>0</v>
      </c>
      <c r="P28" s="190">
        <f>'Ret. y no Rem.'!T28</f>
        <v>0</v>
      </c>
      <c r="Q28" s="191">
        <f>P28*(Remuneración!$AL29+Remuneración!$AN29)</f>
        <v>0</v>
      </c>
      <c r="R28" s="190">
        <f>'Ret. y no Rem.'!V28</f>
        <v>0</v>
      </c>
      <c r="S28" s="191">
        <f>R28*(Remuneración!$AL29+Remuneración!$AN29)</f>
        <v>0</v>
      </c>
      <c r="T28" s="190">
        <f>'Ret. y no Rem.'!X28</f>
        <v>0</v>
      </c>
      <c r="U28" s="191">
        <f>T28*(Remuneración!$AL29+Remuneración!$AN29)</f>
        <v>0</v>
      </c>
      <c r="V28" s="192">
        <f t="shared" si="0"/>
        <v>0</v>
      </c>
      <c r="W28" s="193" t="e">
        <f>+#REF!-V28+Remuneración!AP29</f>
        <v>#REF!</v>
      </c>
    </row>
    <row r="29" spans="2:23">
      <c r="B29" s="189" t="str">
        <f>+Remuneración!B30</f>
        <v/>
      </c>
      <c r="C29" s="189" t="str">
        <f>+Remuneración!C30</f>
        <v/>
      </c>
      <c r="D29" s="190">
        <f>+'Ret. y no Rem.'!D29</f>
        <v>0</v>
      </c>
      <c r="E29" s="191">
        <f>D29*(Remuneración!$AL30+Remuneración!$AN30)</f>
        <v>0</v>
      </c>
      <c r="F29" s="190">
        <f>+'Ret. y no Rem.'!F29</f>
        <v>0</v>
      </c>
      <c r="G29" s="191">
        <f>F29*(Remuneración!$AL30+Remuneración!$AN30)</f>
        <v>0</v>
      </c>
      <c r="H29" s="190">
        <f>+'Ret. y no Rem.'!H29</f>
        <v>0</v>
      </c>
      <c r="I29" s="191">
        <f>H29*(Remuneración!$AL30+Remuneración!$AN30)</f>
        <v>0</v>
      </c>
      <c r="J29" s="190">
        <f>+'Ret. y no Rem.'!J29</f>
        <v>0</v>
      </c>
      <c r="K29" s="191">
        <f>J29*(Remuneración!$AL30+Remuneración!$AN30)</f>
        <v>0</v>
      </c>
      <c r="L29" s="190">
        <f>+'Ret. y no Rem.'!L29</f>
        <v>0</v>
      </c>
      <c r="M29" s="191">
        <f>L29*(Remuneración!$AL30+Remuneración!$AN30)</f>
        <v>0</v>
      </c>
      <c r="N29" s="190">
        <f>'Ret. y no Rem.'!R29</f>
        <v>0</v>
      </c>
      <c r="O29" s="191">
        <f>N29*(Remuneración!$AL30+Remuneración!$AN30)</f>
        <v>0</v>
      </c>
      <c r="P29" s="190">
        <f>'Ret. y no Rem.'!T29</f>
        <v>0</v>
      </c>
      <c r="Q29" s="191">
        <f>P29*(Remuneración!$AL30+Remuneración!$AN30)</f>
        <v>0</v>
      </c>
      <c r="R29" s="190">
        <f>'Ret. y no Rem.'!V29</f>
        <v>0</v>
      </c>
      <c r="S29" s="191">
        <f>R29*(Remuneración!$AL30+Remuneración!$AN30)</f>
        <v>0</v>
      </c>
      <c r="T29" s="190">
        <f>'Ret. y no Rem.'!X29</f>
        <v>0</v>
      </c>
      <c r="U29" s="191">
        <f>T29*(Remuneración!$AL30+Remuneración!$AN30)</f>
        <v>0</v>
      </c>
      <c r="V29" s="192">
        <f t="shared" si="0"/>
        <v>0</v>
      </c>
      <c r="W29" s="193" t="e">
        <f>+#REF!-V29+Remuneración!AP30</f>
        <v>#REF!</v>
      </c>
    </row>
    <row r="30" spans="2:23">
      <c r="B30" s="189" t="str">
        <f>+Remuneración!B31</f>
        <v/>
      </c>
      <c r="C30" s="189" t="str">
        <f>+Remuneración!C31</f>
        <v/>
      </c>
      <c r="D30" s="190">
        <f>+'Ret. y no Rem.'!D30</f>
        <v>0</v>
      </c>
      <c r="E30" s="191">
        <f>D30*(Remuneración!$AL31+Remuneración!$AN31)</f>
        <v>0</v>
      </c>
      <c r="F30" s="190">
        <f>+'Ret. y no Rem.'!F30</f>
        <v>0</v>
      </c>
      <c r="G30" s="191">
        <f>F30*(Remuneración!$AL31+Remuneración!$AN31)</f>
        <v>0</v>
      </c>
      <c r="H30" s="190">
        <f>+'Ret. y no Rem.'!H30</f>
        <v>0</v>
      </c>
      <c r="I30" s="191">
        <f>H30*(Remuneración!$AL31+Remuneración!$AN31)</f>
        <v>0</v>
      </c>
      <c r="J30" s="190">
        <f>+'Ret. y no Rem.'!J30</f>
        <v>0</v>
      </c>
      <c r="K30" s="191">
        <f>J30*(Remuneración!$AL31+Remuneración!$AN31)</f>
        <v>0</v>
      </c>
      <c r="L30" s="190">
        <f>+'Ret. y no Rem.'!L30</f>
        <v>0</v>
      </c>
      <c r="M30" s="191">
        <f>L30*(Remuneración!$AL31+Remuneración!$AN31)</f>
        <v>0</v>
      </c>
      <c r="N30" s="190">
        <f>'Ret. y no Rem.'!R30</f>
        <v>0</v>
      </c>
      <c r="O30" s="191">
        <f>N30*(Remuneración!$AL31+Remuneración!$AN31)</f>
        <v>0</v>
      </c>
      <c r="P30" s="190">
        <f>'Ret. y no Rem.'!T30</f>
        <v>0</v>
      </c>
      <c r="Q30" s="191">
        <f>P30*(Remuneración!$AL31+Remuneración!$AN31)</f>
        <v>0</v>
      </c>
      <c r="R30" s="190">
        <f>'Ret. y no Rem.'!V30</f>
        <v>0</v>
      </c>
      <c r="S30" s="191">
        <f>R30*(Remuneración!$AL31+Remuneración!$AN31)</f>
        <v>0</v>
      </c>
      <c r="T30" s="190">
        <f>'Ret. y no Rem.'!X30</f>
        <v>0</v>
      </c>
      <c r="U30" s="191">
        <f>T30*(Remuneración!$AL31+Remuneración!$AN31)</f>
        <v>0</v>
      </c>
      <c r="V30" s="192">
        <f t="shared" si="0"/>
        <v>0</v>
      </c>
      <c r="W30" s="193" t="e">
        <f>+#REF!-V30+Remuneración!AP31</f>
        <v>#REF!</v>
      </c>
    </row>
    <row r="31" spans="2:23">
      <c r="B31" s="189" t="str">
        <f>+Remuneración!B32</f>
        <v/>
      </c>
      <c r="C31" s="189" t="str">
        <f>+Remuneración!C32</f>
        <v/>
      </c>
      <c r="D31" s="190">
        <f>+'Ret. y no Rem.'!D31</f>
        <v>0</v>
      </c>
      <c r="E31" s="191">
        <f>D31*(Remuneración!$AL32+Remuneración!$AN32)</f>
        <v>0</v>
      </c>
      <c r="F31" s="190">
        <f>+'Ret. y no Rem.'!F31</f>
        <v>0</v>
      </c>
      <c r="G31" s="191">
        <f>F31*(Remuneración!$AL32+Remuneración!$AN32)</f>
        <v>0</v>
      </c>
      <c r="H31" s="190">
        <f>+'Ret. y no Rem.'!H31</f>
        <v>0</v>
      </c>
      <c r="I31" s="191">
        <f>H31*(Remuneración!$AL32+Remuneración!$AN32)</f>
        <v>0</v>
      </c>
      <c r="J31" s="190">
        <f>+'Ret. y no Rem.'!J31</f>
        <v>0</v>
      </c>
      <c r="K31" s="191">
        <f>J31*(Remuneración!$AL32+Remuneración!$AN32)</f>
        <v>0</v>
      </c>
      <c r="L31" s="190">
        <f>+'Ret. y no Rem.'!L31</f>
        <v>0</v>
      </c>
      <c r="M31" s="191">
        <f>L31*(Remuneración!$AL32+Remuneración!$AN32)</f>
        <v>0</v>
      </c>
      <c r="N31" s="190">
        <f>'Ret. y no Rem.'!R31</f>
        <v>0</v>
      </c>
      <c r="O31" s="191">
        <f>N31*(Remuneración!$AL32+Remuneración!$AN32)</f>
        <v>0</v>
      </c>
      <c r="P31" s="190">
        <f>'Ret. y no Rem.'!T31</f>
        <v>0</v>
      </c>
      <c r="Q31" s="191">
        <f>P31*(Remuneración!$AL32+Remuneración!$AN32)</f>
        <v>0</v>
      </c>
      <c r="R31" s="190">
        <f>'Ret. y no Rem.'!V31</f>
        <v>0</v>
      </c>
      <c r="S31" s="191">
        <f>R31*(Remuneración!$AL32+Remuneración!$AN32)</f>
        <v>0</v>
      </c>
      <c r="T31" s="190">
        <f>'Ret. y no Rem.'!X31</f>
        <v>0</v>
      </c>
      <c r="U31" s="191">
        <f>T31*(Remuneración!$AL32+Remuneración!$AN32)</f>
        <v>0</v>
      </c>
      <c r="V31" s="192">
        <f t="shared" si="0"/>
        <v>0</v>
      </c>
      <c r="W31" s="193" t="e">
        <f>+#REF!-V31+Remuneración!AP32</f>
        <v>#REF!</v>
      </c>
    </row>
    <row r="32" spans="2:23">
      <c r="B32" s="189" t="str">
        <f>+Remuneración!B33</f>
        <v/>
      </c>
      <c r="C32" s="189" t="str">
        <f>+Remuneración!C33</f>
        <v/>
      </c>
      <c r="D32" s="190">
        <f>+'Ret. y no Rem.'!D32</f>
        <v>0</v>
      </c>
      <c r="E32" s="191">
        <f>D32*(Remuneración!$AL33+Remuneración!$AN33)</f>
        <v>0</v>
      </c>
      <c r="F32" s="190">
        <f>+'Ret. y no Rem.'!F32</f>
        <v>0</v>
      </c>
      <c r="G32" s="191">
        <f>F32*(Remuneración!$AL33+Remuneración!$AN33)</f>
        <v>0</v>
      </c>
      <c r="H32" s="190">
        <f>+'Ret. y no Rem.'!H32</f>
        <v>0</v>
      </c>
      <c r="I32" s="191">
        <f>H32*(Remuneración!$AL33+Remuneración!$AN33)</f>
        <v>0</v>
      </c>
      <c r="J32" s="190">
        <f>+'Ret. y no Rem.'!J32</f>
        <v>0</v>
      </c>
      <c r="K32" s="191">
        <f>J32*(Remuneración!$AL33+Remuneración!$AN33)</f>
        <v>0</v>
      </c>
      <c r="L32" s="190">
        <f>+'Ret. y no Rem.'!L32</f>
        <v>0</v>
      </c>
      <c r="M32" s="191">
        <f>L32*(Remuneración!$AL33+Remuneración!$AN33)</f>
        <v>0</v>
      </c>
      <c r="N32" s="190">
        <f>'Ret. y no Rem.'!R32</f>
        <v>0</v>
      </c>
      <c r="O32" s="191">
        <f>N32*(Remuneración!$AL33+Remuneración!$AN33)</f>
        <v>0</v>
      </c>
      <c r="P32" s="190">
        <f>'Ret. y no Rem.'!T32</f>
        <v>0</v>
      </c>
      <c r="Q32" s="191">
        <f>P32*(Remuneración!$AL33+Remuneración!$AN33)</f>
        <v>0</v>
      </c>
      <c r="R32" s="190">
        <f>'Ret. y no Rem.'!V32</f>
        <v>0</v>
      </c>
      <c r="S32" s="191">
        <f>R32*(Remuneración!$AL33+Remuneración!$AN33)</f>
        <v>0</v>
      </c>
      <c r="T32" s="190">
        <f>'Ret. y no Rem.'!X32</f>
        <v>0</v>
      </c>
      <c r="U32" s="191">
        <f>T32*(Remuneración!$AL33+Remuneración!$AN33)</f>
        <v>0</v>
      </c>
      <c r="V32" s="192">
        <f t="shared" si="0"/>
        <v>0</v>
      </c>
      <c r="W32" s="193" t="e">
        <f>+#REF!-V32+Remuneración!AP33</f>
        <v>#REF!</v>
      </c>
    </row>
    <row r="33" spans="2:23">
      <c r="B33" s="189" t="str">
        <f>+Remuneración!B34</f>
        <v/>
      </c>
      <c r="C33" s="189" t="str">
        <f>+Remuneración!C34</f>
        <v/>
      </c>
      <c r="D33" s="190">
        <f>+'Ret. y no Rem.'!D33</f>
        <v>0</v>
      </c>
      <c r="E33" s="191">
        <f>D33*(Remuneración!$AL34+Remuneración!$AN34)</f>
        <v>0</v>
      </c>
      <c r="F33" s="190">
        <f>+'Ret. y no Rem.'!F33</f>
        <v>0</v>
      </c>
      <c r="G33" s="191">
        <f>F33*(Remuneración!$AL34+Remuneración!$AN34)</f>
        <v>0</v>
      </c>
      <c r="H33" s="190">
        <f>+'Ret. y no Rem.'!H33</f>
        <v>0</v>
      </c>
      <c r="I33" s="191">
        <f>H33*(Remuneración!$AL34+Remuneración!$AN34)</f>
        <v>0</v>
      </c>
      <c r="J33" s="190">
        <f>+'Ret. y no Rem.'!J33</f>
        <v>0</v>
      </c>
      <c r="K33" s="191">
        <f>J33*(Remuneración!$AL34+Remuneración!$AN34)</f>
        <v>0</v>
      </c>
      <c r="L33" s="190">
        <f>+'Ret. y no Rem.'!L33</f>
        <v>0</v>
      </c>
      <c r="M33" s="191">
        <f>L33*(Remuneración!$AL34+Remuneración!$AN34)</f>
        <v>0</v>
      </c>
      <c r="N33" s="190">
        <f>'Ret. y no Rem.'!R33</f>
        <v>0</v>
      </c>
      <c r="O33" s="191">
        <f>N33*(Remuneración!$AL34+Remuneración!$AN34)</f>
        <v>0</v>
      </c>
      <c r="P33" s="190">
        <f>'Ret. y no Rem.'!T33</f>
        <v>0</v>
      </c>
      <c r="Q33" s="191">
        <f>P33*(Remuneración!$AL34+Remuneración!$AN34)</f>
        <v>0</v>
      </c>
      <c r="R33" s="190">
        <f>'Ret. y no Rem.'!V33</f>
        <v>0</v>
      </c>
      <c r="S33" s="191">
        <f>R33*(Remuneración!$AL34+Remuneración!$AN34)</f>
        <v>0</v>
      </c>
      <c r="T33" s="190">
        <f>'Ret. y no Rem.'!X33</f>
        <v>0</v>
      </c>
      <c r="U33" s="191">
        <f>T33*(Remuneración!$AL34+Remuneración!$AN34)</f>
        <v>0</v>
      </c>
      <c r="V33" s="192">
        <f t="shared" si="0"/>
        <v>0</v>
      </c>
      <c r="W33" s="193" t="e">
        <f>+#REF!-V33+Remuneración!AP34</f>
        <v>#REF!</v>
      </c>
    </row>
    <row r="34" spans="2:23">
      <c r="B34" s="189" t="str">
        <f>+Remuneración!B35</f>
        <v/>
      </c>
      <c r="C34" s="189" t="str">
        <f>+Remuneración!C35</f>
        <v/>
      </c>
      <c r="D34" s="190">
        <f>+'Ret. y no Rem.'!D34</f>
        <v>0</v>
      </c>
      <c r="E34" s="191">
        <f>D34*(Remuneración!$AL35+Remuneración!$AN35)</f>
        <v>0</v>
      </c>
      <c r="F34" s="190">
        <f>+'Ret. y no Rem.'!F34</f>
        <v>0</v>
      </c>
      <c r="G34" s="191">
        <f>F34*(Remuneración!$AL35+Remuneración!$AN35)</f>
        <v>0</v>
      </c>
      <c r="H34" s="190">
        <f>+'Ret. y no Rem.'!H34</f>
        <v>0</v>
      </c>
      <c r="I34" s="191">
        <f>H34*(Remuneración!$AL35+Remuneración!$AN35)</f>
        <v>0</v>
      </c>
      <c r="J34" s="190">
        <f>+'Ret. y no Rem.'!J34</f>
        <v>0</v>
      </c>
      <c r="K34" s="191">
        <f>J34*(Remuneración!$AL35+Remuneración!$AN35)</f>
        <v>0</v>
      </c>
      <c r="L34" s="190">
        <f>+'Ret. y no Rem.'!L34</f>
        <v>0</v>
      </c>
      <c r="M34" s="191">
        <f>L34*(Remuneración!$AL35+Remuneración!$AN35)</f>
        <v>0</v>
      </c>
      <c r="N34" s="190">
        <f>'Ret. y no Rem.'!R34</f>
        <v>0</v>
      </c>
      <c r="O34" s="191">
        <f>N34*(Remuneración!$AL35+Remuneración!$AN35)</f>
        <v>0</v>
      </c>
      <c r="P34" s="190">
        <f>'Ret. y no Rem.'!T34</f>
        <v>0</v>
      </c>
      <c r="Q34" s="191">
        <f>P34*(Remuneración!$AL35+Remuneración!$AN35)</f>
        <v>0</v>
      </c>
      <c r="R34" s="190">
        <f>'Ret. y no Rem.'!V34</f>
        <v>0</v>
      </c>
      <c r="S34" s="191">
        <f>R34*(Remuneración!$AL35+Remuneración!$AN35)</f>
        <v>0</v>
      </c>
      <c r="T34" s="190">
        <f>'Ret. y no Rem.'!X34</f>
        <v>0</v>
      </c>
      <c r="U34" s="191">
        <f>T34*(Remuneración!$AL35+Remuneración!$AN35)</f>
        <v>0</v>
      </c>
      <c r="V34" s="192">
        <f t="shared" si="0"/>
        <v>0</v>
      </c>
      <c r="W34" s="193" t="e">
        <f>+#REF!-V34+Remuneración!AP35</f>
        <v>#REF!</v>
      </c>
    </row>
    <row r="35" spans="2:23">
      <c r="B35" s="189" t="str">
        <f>+Remuneración!B36</f>
        <v/>
      </c>
      <c r="C35" s="189" t="str">
        <f>+Remuneración!C36</f>
        <v/>
      </c>
      <c r="D35" s="190">
        <f>+'Ret. y no Rem.'!D35</f>
        <v>0</v>
      </c>
      <c r="E35" s="191">
        <f>D35*(Remuneración!$AL36+Remuneración!$AN36)</f>
        <v>0</v>
      </c>
      <c r="F35" s="190">
        <f>+'Ret. y no Rem.'!F35</f>
        <v>0</v>
      </c>
      <c r="G35" s="191">
        <f>F35*(Remuneración!$AL36+Remuneración!$AN36)</f>
        <v>0</v>
      </c>
      <c r="H35" s="190">
        <f>+'Ret. y no Rem.'!H35</f>
        <v>0</v>
      </c>
      <c r="I35" s="191">
        <f>H35*(Remuneración!$AL36+Remuneración!$AN36)</f>
        <v>0</v>
      </c>
      <c r="J35" s="190">
        <f>+'Ret. y no Rem.'!J35</f>
        <v>0</v>
      </c>
      <c r="K35" s="191">
        <f>J35*(Remuneración!$AL36+Remuneración!$AN36)</f>
        <v>0</v>
      </c>
      <c r="L35" s="190">
        <f>+'Ret. y no Rem.'!L35</f>
        <v>0</v>
      </c>
      <c r="M35" s="191">
        <f>L35*(Remuneración!$AL36+Remuneración!$AN36)</f>
        <v>0</v>
      </c>
      <c r="N35" s="190">
        <f>'Ret. y no Rem.'!R35</f>
        <v>0</v>
      </c>
      <c r="O35" s="191">
        <f>N35*(Remuneración!$AL36+Remuneración!$AN36)</f>
        <v>0</v>
      </c>
      <c r="P35" s="190">
        <f>'Ret. y no Rem.'!T35</f>
        <v>0</v>
      </c>
      <c r="Q35" s="191">
        <f>P35*(Remuneración!$AL36+Remuneración!$AN36)</f>
        <v>0</v>
      </c>
      <c r="R35" s="190">
        <f>'Ret. y no Rem.'!V35</f>
        <v>0</v>
      </c>
      <c r="S35" s="191">
        <f>R35*(Remuneración!$AL36+Remuneración!$AN36)</f>
        <v>0</v>
      </c>
      <c r="T35" s="190">
        <f>'Ret. y no Rem.'!X35</f>
        <v>0</v>
      </c>
      <c r="U35" s="191">
        <f>T35*(Remuneración!$AL36+Remuneración!$AN36)</f>
        <v>0</v>
      </c>
      <c r="V35" s="192">
        <f t="shared" si="0"/>
        <v>0</v>
      </c>
      <c r="W35" s="193" t="e">
        <f>+#REF!-V35+Remuneración!AP36</f>
        <v>#REF!</v>
      </c>
    </row>
    <row r="36" spans="2:23">
      <c r="B36" s="189" t="str">
        <f>+Remuneración!B37</f>
        <v/>
      </c>
      <c r="C36" s="189" t="str">
        <f>+Remuneración!C37</f>
        <v/>
      </c>
      <c r="D36" s="190">
        <f>+'Ret. y no Rem.'!D36</f>
        <v>0</v>
      </c>
      <c r="E36" s="191">
        <f>D36*(Remuneración!$AL37+Remuneración!$AN37)</f>
        <v>0</v>
      </c>
      <c r="F36" s="190">
        <f>+'Ret. y no Rem.'!F36</f>
        <v>0</v>
      </c>
      <c r="G36" s="191">
        <f>F36*(Remuneración!$AL37+Remuneración!$AN37)</f>
        <v>0</v>
      </c>
      <c r="H36" s="190">
        <f>+'Ret. y no Rem.'!H36</f>
        <v>0</v>
      </c>
      <c r="I36" s="191">
        <f>H36*(Remuneración!$AL37+Remuneración!$AN37)</f>
        <v>0</v>
      </c>
      <c r="J36" s="190">
        <f>+'Ret. y no Rem.'!J36</f>
        <v>0</v>
      </c>
      <c r="K36" s="191">
        <f>J36*(Remuneración!$AL37+Remuneración!$AN37)</f>
        <v>0</v>
      </c>
      <c r="L36" s="190">
        <f>+'Ret. y no Rem.'!L36</f>
        <v>0</v>
      </c>
      <c r="M36" s="191">
        <f>L36*(Remuneración!$AL37+Remuneración!$AN37)</f>
        <v>0</v>
      </c>
      <c r="N36" s="190">
        <f>'Ret. y no Rem.'!R36</f>
        <v>0</v>
      </c>
      <c r="O36" s="191">
        <f>N36*(Remuneración!$AL37+Remuneración!$AN37)</f>
        <v>0</v>
      </c>
      <c r="P36" s="190">
        <f>'Ret. y no Rem.'!T36</f>
        <v>0</v>
      </c>
      <c r="Q36" s="191">
        <f>P36*(Remuneración!$AL37+Remuneración!$AN37)</f>
        <v>0</v>
      </c>
      <c r="R36" s="190">
        <f>'Ret. y no Rem.'!V36</f>
        <v>0</v>
      </c>
      <c r="S36" s="191">
        <f>R36*(Remuneración!$AL37+Remuneración!$AN37)</f>
        <v>0</v>
      </c>
      <c r="T36" s="190">
        <f>'Ret. y no Rem.'!X36</f>
        <v>0</v>
      </c>
      <c r="U36" s="191">
        <f>T36*(Remuneración!$AL37+Remuneración!$AN37)</f>
        <v>0</v>
      </c>
      <c r="V36" s="192">
        <f t="shared" si="0"/>
        <v>0</v>
      </c>
      <c r="W36" s="193" t="e">
        <f>+#REF!-V36+Remuneración!AP37</f>
        <v>#REF!</v>
      </c>
    </row>
    <row r="37" spans="2:23">
      <c r="B37" s="189" t="str">
        <f>+Remuneración!B38</f>
        <v/>
      </c>
      <c r="C37" s="189" t="str">
        <f>+Remuneración!C38</f>
        <v/>
      </c>
      <c r="D37" s="190">
        <f>+'Ret. y no Rem.'!D37</f>
        <v>0</v>
      </c>
      <c r="E37" s="191">
        <f>D37*(Remuneración!$AL38+Remuneración!$AN38)</f>
        <v>0</v>
      </c>
      <c r="F37" s="190">
        <f>+'Ret. y no Rem.'!F37</f>
        <v>0</v>
      </c>
      <c r="G37" s="191">
        <f>F37*(Remuneración!$AL38+Remuneración!$AN38)</f>
        <v>0</v>
      </c>
      <c r="H37" s="190">
        <f>+'Ret. y no Rem.'!H37</f>
        <v>0</v>
      </c>
      <c r="I37" s="191">
        <f>H37*(Remuneración!$AL38+Remuneración!$AN38)</f>
        <v>0</v>
      </c>
      <c r="J37" s="190">
        <f>+'Ret. y no Rem.'!J37</f>
        <v>0</v>
      </c>
      <c r="K37" s="191">
        <f>J37*(Remuneración!$AL38+Remuneración!$AN38)</f>
        <v>0</v>
      </c>
      <c r="L37" s="190">
        <f>+'Ret. y no Rem.'!L37</f>
        <v>0</v>
      </c>
      <c r="M37" s="191">
        <f>L37*(Remuneración!$AL38+Remuneración!$AN38)</f>
        <v>0</v>
      </c>
      <c r="N37" s="190">
        <f>'Ret. y no Rem.'!R37</f>
        <v>0</v>
      </c>
      <c r="O37" s="191">
        <f>N37*(Remuneración!$AL38+Remuneración!$AN38)</f>
        <v>0</v>
      </c>
      <c r="P37" s="190">
        <f>'Ret. y no Rem.'!T37</f>
        <v>0</v>
      </c>
      <c r="Q37" s="191">
        <f>P37*(Remuneración!$AL38+Remuneración!$AN38)</f>
        <v>0</v>
      </c>
      <c r="R37" s="190">
        <f>'Ret. y no Rem.'!V37</f>
        <v>0</v>
      </c>
      <c r="S37" s="191">
        <f>R37*(Remuneración!$AL38+Remuneración!$AN38)</f>
        <v>0</v>
      </c>
      <c r="T37" s="190">
        <f>'Ret. y no Rem.'!X37</f>
        <v>0</v>
      </c>
      <c r="U37" s="191">
        <f>T37*(Remuneración!$AL38+Remuneración!$AN38)</f>
        <v>0</v>
      </c>
      <c r="V37" s="192">
        <f t="shared" si="0"/>
        <v>0</v>
      </c>
      <c r="W37" s="193" t="e">
        <f>+#REF!-V37+Remuneración!AP38</f>
        <v>#REF!</v>
      </c>
    </row>
    <row r="38" spans="2:23">
      <c r="B38" s="189" t="str">
        <f>+Remuneración!B39</f>
        <v/>
      </c>
      <c r="C38" s="189" t="str">
        <f>+Remuneración!C39</f>
        <v/>
      </c>
      <c r="D38" s="190">
        <f>+'Ret. y no Rem.'!D38</f>
        <v>0</v>
      </c>
      <c r="E38" s="191">
        <f>D38*(Remuneración!$AL39+Remuneración!$AN39)</f>
        <v>0</v>
      </c>
      <c r="F38" s="190">
        <f>+'Ret. y no Rem.'!F38</f>
        <v>0</v>
      </c>
      <c r="G38" s="191">
        <f>F38*(Remuneración!$AL39+Remuneración!$AN39)</f>
        <v>0</v>
      </c>
      <c r="H38" s="190">
        <f>+'Ret. y no Rem.'!H38</f>
        <v>0</v>
      </c>
      <c r="I38" s="191">
        <f>H38*(Remuneración!$AL39+Remuneración!$AN39)</f>
        <v>0</v>
      </c>
      <c r="J38" s="190">
        <f>+'Ret. y no Rem.'!J38</f>
        <v>0</v>
      </c>
      <c r="K38" s="191">
        <f>J38*(Remuneración!$AL39+Remuneración!$AN39)</f>
        <v>0</v>
      </c>
      <c r="L38" s="190">
        <f>+'Ret. y no Rem.'!L38</f>
        <v>0</v>
      </c>
      <c r="M38" s="191">
        <f>L38*(Remuneración!$AL39+Remuneración!$AN39)</f>
        <v>0</v>
      </c>
      <c r="N38" s="190">
        <f>'Ret. y no Rem.'!R38</f>
        <v>0</v>
      </c>
      <c r="O38" s="191">
        <f>N38*(Remuneración!$AL39+Remuneración!$AN39)</f>
        <v>0</v>
      </c>
      <c r="P38" s="190">
        <f>'Ret. y no Rem.'!T38</f>
        <v>0</v>
      </c>
      <c r="Q38" s="191">
        <f>P38*(Remuneración!$AL39+Remuneración!$AN39)</f>
        <v>0</v>
      </c>
      <c r="R38" s="190">
        <f>'Ret. y no Rem.'!V38</f>
        <v>0</v>
      </c>
      <c r="S38" s="191">
        <f>R38*(Remuneración!$AL39+Remuneración!$AN39)</f>
        <v>0</v>
      </c>
      <c r="T38" s="190">
        <f>'Ret. y no Rem.'!X38</f>
        <v>0</v>
      </c>
      <c r="U38" s="191">
        <f>T38*(Remuneración!$AL39+Remuneración!$AN39)</f>
        <v>0</v>
      </c>
      <c r="V38" s="192">
        <f t="shared" si="0"/>
        <v>0</v>
      </c>
      <c r="W38" s="193" t="e">
        <f>+#REF!-V38+Remuneración!AP39</f>
        <v>#REF!</v>
      </c>
    </row>
    <row r="39" spans="2:23">
      <c r="B39" s="189" t="str">
        <f>+Remuneración!B40</f>
        <v/>
      </c>
      <c r="C39" s="189" t="str">
        <f>+Remuneración!C40</f>
        <v/>
      </c>
      <c r="D39" s="190">
        <f>+'Ret. y no Rem.'!D39</f>
        <v>0</v>
      </c>
      <c r="E39" s="191">
        <f>D39*(Remuneración!$AL40+Remuneración!$AN40)</f>
        <v>0</v>
      </c>
      <c r="F39" s="190">
        <f>+'Ret. y no Rem.'!F39</f>
        <v>0</v>
      </c>
      <c r="G39" s="191">
        <f>F39*(Remuneración!$AL40+Remuneración!$AN40)</f>
        <v>0</v>
      </c>
      <c r="H39" s="190">
        <f>+'Ret. y no Rem.'!H39</f>
        <v>0</v>
      </c>
      <c r="I39" s="191">
        <f>H39*(Remuneración!$AL40+Remuneración!$AN40)</f>
        <v>0</v>
      </c>
      <c r="J39" s="190">
        <f>+'Ret. y no Rem.'!J39</f>
        <v>0</v>
      </c>
      <c r="K39" s="191">
        <f>J39*(Remuneración!$AL40+Remuneración!$AN40)</f>
        <v>0</v>
      </c>
      <c r="L39" s="190">
        <f>+'Ret. y no Rem.'!L39</f>
        <v>0</v>
      </c>
      <c r="M39" s="191">
        <f>L39*(Remuneración!$AL40+Remuneración!$AN40)</f>
        <v>0</v>
      </c>
      <c r="N39" s="190">
        <f>'Ret. y no Rem.'!R39</f>
        <v>0</v>
      </c>
      <c r="O39" s="191">
        <f>N39*(Remuneración!$AL40+Remuneración!$AN40)</f>
        <v>0</v>
      </c>
      <c r="P39" s="190">
        <f>'Ret. y no Rem.'!T39</f>
        <v>0</v>
      </c>
      <c r="Q39" s="191">
        <f>P39*(Remuneración!$AL40+Remuneración!$AN40)</f>
        <v>0</v>
      </c>
      <c r="R39" s="190">
        <f>'Ret. y no Rem.'!V39</f>
        <v>0</v>
      </c>
      <c r="S39" s="191">
        <f>R39*(Remuneración!$AL40+Remuneración!$AN40)</f>
        <v>0</v>
      </c>
      <c r="T39" s="190">
        <f>'Ret. y no Rem.'!X39</f>
        <v>0</v>
      </c>
      <c r="U39" s="191">
        <f>T39*(Remuneración!$AL40+Remuneración!$AN40)</f>
        <v>0</v>
      </c>
      <c r="V39" s="192">
        <f t="shared" si="0"/>
        <v>0</v>
      </c>
      <c r="W39" s="193" t="e">
        <f>+#REF!-V39+Remuneración!AP40</f>
        <v>#REF!</v>
      </c>
    </row>
    <row r="40" spans="2:23">
      <c r="B40" s="189" t="str">
        <f>+Remuneración!B41</f>
        <v/>
      </c>
      <c r="C40" s="189" t="str">
        <f>+Remuneración!C41</f>
        <v/>
      </c>
      <c r="D40" s="190">
        <f>+'Ret. y no Rem.'!D40</f>
        <v>0</v>
      </c>
      <c r="E40" s="191">
        <f>D40*(Remuneración!$AL41+Remuneración!$AN41)</f>
        <v>0</v>
      </c>
      <c r="F40" s="190">
        <f>+'Ret. y no Rem.'!F40</f>
        <v>0</v>
      </c>
      <c r="G40" s="191">
        <f>F40*(Remuneración!$AL41+Remuneración!$AN41)</f>
        <v>0</v>
      </c>
      <c r="H40" s="190">
        <f>+'Ret. y no Rem.'!H40</f>
        <v>0</v>
      </c>
      <c r="I40" s="191">
        <f>H40*(Remuneración!$AL41+Remuneración!$AN41)</f>
        <v>0</v>
      </c>
      <c r="J40" s="190">
        <f>+'Ret. y no Rem.'!J40</f>
        <v>0</v>
      </c>
      <c r="K40" s="191">
        <f>J40*(Remuneración!$AL41+Remuneración!$AN41)</f>
        <v>0</v>
      </c>
      <c r="L40" s="190">
        <f>+'Ret. y no Rem.'!L40</f>
        <v>0</v>
      </c>
      <c r="M40" s="191">
        <f>L40*(Remuneración!$AL41+Remuneración!$AN41)</f>
        <v>0</v>
      </c>
      <c r="N40" s="190">
        <f>'Ret. y no Rem.'!R40</f>
        <v>0</v>
      </c>
      <c r="O40" s="191">
        <f>N40*(Remuneración!$AL41+Remuneración!$AN41)</f>
        <v>0</v>
      </c>
      <c r="P40" s="190">
        <f>'Ret. y no Rem.'!T40</f>
        <v>0</v>
      </c>
      <c r="Q40" s="191">
        <f>P40*(Remuneración!$AL41+Remuneración!$AN41)</f>
        <v>0</v>
      </c>
      <c r="R40" s="190">
        <f>'Ret. y no Rem.'!V40</f>
        <v>0</v>
      </c>
      <c r="S40" s="191">
        <f>R40*(Remuneración!$AL41+Remuneración!$AN41)</f>
        <v>0</v>
      </c>
      <c r="T40" s="190">
        <f>'Ret. y no Rem.'!X40</f>
        <v>0</v>
      </c>
      <c r="U40" s="191">
        <f>T40*(Remuneración!$AL41+Remuneración!$AN41)</f>
        <v>0</v>
      </c>
      <c r="V40" s="192">
        <f t="shared" si="0"/>
        <v>0</v>
      </c>
      <c r="W40" s="193" t="e">
        <f>+#REF!-V40+Remuneración!AP41</f>
        <v>#REF!</v>
      </c>
    </row>
    <row r="41" spans="2:23">
      <c r="B41" s="189" t="str">
        <f>+Remuneración!B42</f>
        <v/>
      </c>
      <c r="C41" s="189" t="str">
        <f>+Remuneración!C42</f>
        <v/>
      </c>
      <c r="D41" s="190">
        <f>+'Ret. y no Rem.'!D41</f>
        <v>0</v>
      </c>
      <c r="E41" s="191">
        <f>D41*(Remuneración!$AL42+Remuneración!$AN42)</f>
        <v>0</v>
      </c>
      <c r="F41" s="190">
        <f>+'Ret. y no Rem.'!F41</f>
        <v>0</v>
      </c>
      <c r="G41" s="191">
        <f>F41*(Remuneración!$AL42+Remuneración!$AN42)</f>
        <v>0</v>
      </c>
      <c r="H41" s="190">
        <f>+'Ret. y no Rem.'!H41</f>
        <v>0</v>
      </c>
      <c r="I41" s="191">
        <f>H41*(Remuneración!$AL42+Remuneración!$AN42)</f>
        <v>0</v>
      </c>
      <c r="J41" s="190">
        <f>+'Ret. y no Rem.'!J41</f>
        <v>0</v>
      </c>
      <c r="K41" s="191">
        <f>J41*(Remuneración!$AL42+Remuneración!$AN42)</f>
        <v>0</v>
      </c>
      <c r="L41" s="190">
        <f>+'Ret. y no Rem.'!L41</f>
        <v>0</v>
      </c>
      <c r="M41" s="191">
        <f>L41*(Remuneración!$AL42+Remuneración!$AN42)</f>
        <v>0</v>
      </c>
      <c r="N41" s="190">
        <f>'Ret. y no Rem.'!R41</f>
        <v>0</v>
      </c>
      <c r="O41" s="191">
        <f>N41*(Remuneración!$AL42+Remuneración!$AN42)</f>
        <v>0</v>
      </c>
      <c r="P41" s="190">
        <f>'Ret. y no Rem.'!T41</f>
        <v>0</v>
      </c>
      <c r="Q41" s="191">
        <f>P41*(Remuneración!$AL42+Remuneración!$AN42)</f>
        <v>0</v>
      </c>
      <c r="R41" s="190">
        <f>'Ret. y no Rem.'!V41</f>
        <v>0</v>
      </c>
      <c r="S41" s="191">
        <f>R41*(Remuneración!$AL42+Remuneración!$AN42)</f>
        <v>0</v>
      </c>
      <c r="T41" s="190">
        <f>'Ret. y no Rem.'!X41</f>
        <v>0</v>
      </c>
      <c r="U41" s="191">
        <f>T41*(Remuneración!$AL42+Remuneración!$AN42)</f>
        <v>0</v>
      </c>
      <c r="V41" s="192">
        <f t="shared" si="0"/>
        <v>0</v>
      </c>
      <c r="W41" s="193" t="e">
        <f>+#REF!-V41+Remuneración!AP42</f>
        <v>#REF!</v>
      </c>
    </row>
    <row r="42" spans="2:23">
      <c r="B42" s="189" t="str">
        <f>+Remuneración!B43</f>
        <v/>
      </c>
      <c r="C42" s="189" t="str">
        <f>+Remuneración!C43</f>
        <v/>
      </c>
      <c r="D42" s="190">
        <f>+'Ret. y no Rem.'!D42</f>
        <v>0</v>
      </c>
      <c r="E42" s="191">
        <f>D42*(Remuneración!$AL43+Remuneración!$AN43)</f>
        <v>0</v>
      </c>
      <c r="F42" s="190">
        <f>+'Ret. y no Rem.'!F42</f>
        <v>0</v>
      </c>
      <c r="G42" s="191">
        <f>F42*(Remuneración!$AL43+Remuneración!$AN43)</f>
        <v>0</v>
      </c>
      <c r="H42" s="190">
        <f>+'Ret. y no Rem.'!H42</f>
        <v>0</v>
      </c>
      <c r="I42" s="191">
        <f>H42*(Remuneración!$AL43+Remuneración!$AN43)</f>
        <v>0</v>
      </c>
      <c r="J42" s="190">
        <f>+'Ret. y no Rem.'!J42</f>
        <v>0</v>
      </c>
      <c r="K42" s="191">
        <f>J42*(Remuneración!$AL43+Remuneración!$AN43)</f>
        <v>0</v>
      </c>
      <c r="L42" s="190">
        <f>+'Ret. y no Rem.'!L42</f>
        <v>0</v>
      </c>
      <c r="M42" s="191">
        <f>L42*(Remuneración!$AL43+Remuneración!$AN43)</f>
        <v>0</v>
      </c>
      <c r="N42" s="190">
        <f>'Ret. y no Rem.'!R42</f>
        <v>0</v>
      </c>
      <c r="O42" s="191">
        <f>N42*(Remuneración!$AL43+Remuneración!$AN43)</f>
        <v>0</v>
      </c>
      <c r="P42" s="190">
        <f>'Ret. y no Rem.'!T42</f>
        <v>0</v>
      </c>
      <c r="Q42" s="191">
        <f>P42*(Remuneración!$AL43+Remuneración!$AN43)</f>
        <v>0</v>
      </c>
      <c r="R42" s="190">
        <f>'Ret. y no Rem.'!V42</f>
        <v>0</v>
      </c>
      <c r="S42" s="191">
        <f>R42*(Remuneración!$AL43+Remuneración!$AN43)</f>
        <v>0</v>
      </c>
      <c r="T42" s="190">
        <f>'Ret. y no Rem.'!X42</f>
        <v>0</v>
      </c>
      <c r="U42" s="191">
        <f>T42*(Remuneración!$AL43+Remuneración!$AN43)</f>
        <v>0</v>
      </c>
      <c r="V42" s="192">
        <f t="shared" si="0"/>
        <v>0</v>
      </c>
      <c r="W42" s="193" t="e">
        <f>+#REF!-V42+Remuneración!AP43</f>
        <v>#REF!</v>
      </c>
    </row>
    <row r="43" spans="2:23">
      <c r="B43" s="189" t="str">
        <f>+Remuneración!B44</f>
        <v/>
      </c>
      <c r="C43" s="189" t="str">
        <f>+Remuneración!C44</f>
        <v/>
      </c>
      <c r="D43" s="190">
        <f>+'Ret. y no Rem.'!D43</f>
        <v>0</v>
      </c>
      <c r="E43" s="191">
        <f>D43*(Remuneración!$AL44+Remuneración!$AN44)</f>
        <v>0</v>
      </c>
      <c r="F43" s="190">
        <f>+'Ret. y no Rem.'!F43</f>
        <v>0</v>
      </c>
      <c r="G43" s="191">
        <f>F43*(Remuneración!$AL44+Remuneración!$AN44)</f>
        <v>0</v>
      </c>
      <c r="H43" s="190">
        <f>+'Ret. y no Rem.'!H43</f>
        <v>0</v>
      </c>
      <c r="I43" s="191">
        <f>H43*(Remuneración!$AL44+Remuneración!$AN44)</f>
        <v>0</v>
      </c>
      <c r="J43" s="190">
        <f>+'Ret. y no Rem.'!J43</f>
        <v>0</v>
      </c>
      <c r="K43" s="191">
        <f>J43*(Remuneración!$AL44+Remuneración!$AN44)</f>
        <v>0</v>
      </c>
      <c r="L43" s="190">
        <f>+'Ret. y no Rem.'!L43</f>
        <v>0</v>
      </c>
      <c r="M43" s="191">
        <f>L43*(Remuneración!$AL44+Remuneración!$AN44)</f>
        <v>0</v>
      </c>
      <c r="N43" s="190">
        <f>'Ret. y no Rem.'!R43</f>
        <v>0</v>
      </c>
      <c r="O43" s="191">
        <f>N43*(Remuneración!$AL44+Remuneración!$AN44)</f>
        <v>0</v>
      </c>
      <c r="P43" s="190">
        <f>'Ret. y no Rem.'!T43</f>
        <v>0</v>
      </c>
      <c r="Q43" s="191">
        <f>P43*(Remuneración!$AL44+Remuneración!$AN44)</f>
        <v>0</v>
      </c>
      <c r="R43" s="190">
        <f>'Ret. y no Rem.'!V43</f>
        <v>0</v>
      </c>
      <c r="S43" s="191">
        <f>R43*(Remuneración!$AL44+Remuneración!$AN44)</f>
        <v>0</v>
      </c>
      <c r="T43" s="190">
        <f>'Ret. y no Rem.'!X43</f>
        <v>0</v>
      </c>
      <c r="U43" s="191">
        <f>T43*(Remuneración!$AL44+Remuneración!$AN44)</f>
        <v>0</v>
      </c>
      <c r="V43" s="192">
        <f t="shared" si="0"/>
        <v>0</v>
      </c>
      <c r="W43" s="193" t="e">
        <f>+#REF!-V43+Remuneración!AP44</f>
        <v>#REF!</v>
      </c>
    </row>
    <row r="44" spans="2:23">
      <c r="B44" s="189" t="str">
        <f>+Remuneración!B45</f>
        <v/>
      </c>
      <c r="C44" s="189" t="str">
        <f>+Remuneración!C45</f>
        <v/>
      </c>
      <c r="D44" s="190">
        <f>+'Ret. y no Rem.'!D44</f>
        <v>0</v>
      </c>
      <c r="E44" s="191">
        <f>D44*(Remuneración!$AL45+Remuneración!$AN45)</f>
        <v>0</v>
      </c>
      <c r="F44" s="190">
        <f>+'Ret. y no Rem.'!F44</f>
        <v>0</v>
      </c>
      <c r="G44" s="191">
        <f>F44*(Remuneración!$AL45+Remuneración!$AN45)</f>
        <v>0</v>
      </c>
      <c r="H44" s="190">
        <f>+'Ret. y no Rem.'!H44</f>
        <v>0</v>
      </c>
      <c r="I44" s="191">
        <f>H44*(Remuneración!$AL45+Remuneración!$AN45)</f>
        <v>0</v>
      </c>
      <c r="J44" s="190">
        <f>+'Ret. y no Rem.'!J44</f>
        <v>0</v>
      </c>
      <c r="K44" s="191">
        <f>J44*(Remuneración!$AL45+Remuneración!$AN45)</f>
        <v>0</v>
      </c>
      <c r="L44" s="190">
        <f>+'Ret. y no Rem.'!L44</f>
        <v>0</v>
      </c>
      <c r="M44" s="191">
        <f>L44*(Remuneración!$AL45+Remuneración!$AN45)</f>
        <v>0</v>
      </c>
      <c r="N44" s="190">
        <f>'Ret. y no Rem.'!R44</f>
        <v>0</v>
      </c>
      <c r="O44" s="191">
        <f>N44*(Remuneración!$AL45+Remuneración!$AN45)</f>
        <v>0</v>
      </c>
      <c r="P44" s="190">
        <f>'Ret. y no Rem.'!T44</f>
        <v>0</v>
      </c>
      <c r="Q44" s="191">
        <f>P44*(Remuneración!$AL45+Remuneración!$AN45)</f>
        <v>0</v>
      </c>
      <c r="R44" s="190">
        <f>'Ret. y no Rem.'!V44</f>
        <v>0</v>
      </c>
      <c r="S44" s="191">
        <f>R44*(Remuneración!$AL45+Remuneración!$AN45)</f>
        <v>0</v>
      </c>
      <c r="T44" s="190">
        <f>'Ret. y no Rem.'!X44</f>
        <v>0</v>
      </c>
      <c r="U44" s="191">
        <f>T44*(Remuneración!$AL45+Remuneración!$AN45)</f>
        <v>0</v>
      </c>
      <c r="V44" s="192">
        <f t="shared" si="0"/>
        <v>0</v>
      </c>
      <c r="W44" s="193" t="e">
        <f>+#REF!-V44+Remuneración!AP45</f>
        <v>#REF!</v>
      </c>
    </row>
    <row r="45" spans="2:23">
      <c r="B45" s="189" t="str">
        <f>+Remuneración!B46</f>
        <v/>
      </c>
      <c r="C45" s="189" t="str">
        <f>+Remuneración!C46</f>
        <v/>
      </c>
      <c r="D45" s="190">
        <f>+'Ret. y no Rem.'!D45</f>
        <v>0</v>
      </c>
      <c r="E45" s="191">
        <f>D45*(Remuneración!$AL46+Remuneración!$AN46)</f>
        <v>0</v>
      </c>
      <c r="F45" s="190">
        <f>+'Ret. y no Rem.'!F45</f>
        <v>0</v>
      </c>
      <c r="G45" s="191">
        <f>F45*(Remuneración!$AL46+Remuneración!$AN46)</f>
        <v>0</v>
      </c>
      <c r="H45" s="190">
        <f>+'Ret. y no Rem.'!H45</f>
        <v>0</v>
      </c>
      <c r="I45" s="191">
        <f>H45*(Remuneración!$AL46+Remuneración!$AN46)</f>
        <v>0</v>
      </c>
      <c r="J45" s="190">
        <f>+'Ret. y no Rem.'!J45</f>
        <v>0</v>
      </c>
      <c r="K45" s="191">
        <f>J45*(Remuneración!$AL46+Remuneración!$AN46)</f>
        <v>0</v>
      </c>
      <c r="L45" s="190">
        <f>+'Ret. y no Rem.'!L45</f>
        <v>0</v>
      </c>
      <c r="M45" s="191">
        <f>L45*(Remuneración!$AL46+Remuneración!$AN46)</f>
        <v>0</v>
      </c>
      <c r="N45" s="190">
        <f>'Ret. y no Rem.'!R45</f>
        <v>0</v>
      </c>
      <c r="O45" s="191">
        <f>N45*(Remuneración!$AL46+Remuneración!$AN46)</f>
        <v>0</v>
      </c>
      <c r="P45" s="190">
        <f>'Ret. y no Rem.'!T45</f>
        <v>0</v>
      </c>
      <c r="Q45" s="191">
        <f>P45*(Remuneración!$AL46+Remuneración!$AN46)</f>
        <v>0</v>
      </c>
      <c r="R45" s="190">
        <f>'Ret. y no Rem.'!V45</f>
        <v>0</v>
      </c>
      <c r="S45" s="191">
        <f>R45*(Remuneración!$AL46+Remuneración!$AN46)</f>
        <v>0</v>
      </c>
      <c r="T45" s="190">
        <f>'Ret. y no Rem.'!X45</f>
        <v>0</v>
      </c>
      <c r="U45" s="191">
        <f>T45*(Remuneración!$AL46+Remuneración!$AN46)</f>
        <v>0</v>
      </c>
      <c r="V45" s="192">
        <f t="shared" si="0"/>
        <v>0</v>
      </c>
      <c r="W45" s="193" t="e">
        <f>+#REF!-V45+Remuneración!AP46</f>
        <v>#REF!</v>
      </c>
    </row>
    <row r="46" spans="2:23">
      <c r="B46" s="189" t="str">
        <f>+Remuneración!B47</f>
        <v/>
      </c>
      <c r="C46" s="189" t="str">
        <f>+Remuneración!C47</f>
        <v/>
      </c>
      <c r="D46" s="190">
        <f>+'Ret. y no Rem.'!D46</f>
        <v>0</v>
      </c>
      <c r="E46" s="191">
        <f>D46*(Remuneración!$AL47+Remuneración!$AN47)</f>
        <v>0</v>
      </c>
      <c r="F46" s="190">
        <f>+'Ret. y no Rem.'!F46</f>
        <v>0</v>
      </c>
      <c r="G46" s="191">
        <f>F46*(Remuneración!$AL47+Remuneración!$AN47)</f>
        <v>0</v>
      </c>
      <c r="H46" s="190">
        <f>+'Ret. y no Rem.'!H46</f>
        <v>0</v>
      </c>
      <c r="I46" s="191">
        <f>H46*(Remuneración!$AL47+Remuneración!$AN47)</f>
        <v>0</v>
      </c>
      <c r="J46" s="190">
        <f>+'Ret. y no Rem.'!J46</f>
        <v>0</v>
      </c>
      <c r="K46" s="191">
        <f>J46*(Remuneración!$AL47+Remuneración!$AN47)</f>
        <v>0</v>
      </c>
      <c r="L46" s="190">
        <f>+'Ret. y no Rem.'!L46</f>
        <v>0</v>
      </c>
      <c r="M46" s="191">
        <f>L46*(Remuneración!$AL47+Remuneración!$AN47)</f>
        <v>0</v>
      </c>
      <c r="N46" s="190">
        <f>'Ret. y no Rem.'!R46</f>
        <v>0</v>
      </c>
      <c r="O46" s="191">
        <f>N46*(Remuneración!$AL47+Remuneración!$AN47)</f>
        <v>0</v>
      </c>
      <c r="P46" s="190">
        <f>'Ret. y no Rem.'!T46</f>
        <v>0</v>
      </c>
      <c r="Q46" s="191">
        <f>P46*(Remuneración!$AL47+Remuneración!$AN47)</f>
        <v>0</v>
      </c>
      <c r="R46" s="190">
        <f>'Ret. y no Rem.'!V46</f>
        <v>0</v>
      </c>
      <c r="S46" s="191">
        <f>R46*(Remuneración!$AL47+Remuneración!$AN47)</f>
        <v>0</v>
      </c>
      <c r="T46" s="190">
        <f>'Ret. y no Rem.'!X46</f>
        <v>0</v>
      </c>
      <c r="U46" s="191">
        <f>T46*(Remuneración!$AL47+Remuneración!$AN47)</f>
        <v>0</v>
      </c>
      <c r="V46" s="192">
        <f t="shared" si="0"/>
        <v>0</v>
      </c>
      <c r="W46" s="193" t="e">
        <f>+#REF!-V46+Remuneración!AP47</f>
        <v>#REF!</v>
      </c>
    </row>
    <row r="47" spans="2:23">
      <c r="B47" s="189" t="str">
        <f>+Remuneración!B48</f>
        <v/>
      </c>
      <c r="C47" s="189" t="str">
        <f>+Remuneración!C48</f>
        <v/>
      </c>
      <c r="D47" s="190">
        <f>+'Ret. y no Rem.'!D47</f>
        <v>0</v>
      </c>
      <c r="E47" s="191">
        <f>D47*(Remuneración!$AL48+Remuneración!$AN48)</f>
        <v>0</v>
      </c>
      <c r="F47" s="190">
        <f>+'Ret. y no Rem.'!F47</f>
        <v>0</v>
      </c>
      <c r="G47" s="191">
        <f>F47*(Remuneración!$AL48+Remuneración!$AN48)</f>
        <v>0</v>
      </c>
      <c r="H47" s="190">
        <f>+'Ret. y no Rem.'!H47</f>
        <v>0</v>
      </c>
      <c r="I47" s="191">
        <f>H47*(Remuneración!$AL48+Remuneración!$AN48)</f>
        <v>0</v>
      </c>
      <c r="J47" s="190">
        <f>+'Ret. y no Rem.'!J47</f>
        <v>0</v>
      </c>
      <c r="K47" s="191">
        <f>J47*(Remuneración!$AL48+Remuneración!$AN48)</f>
        <v>0</v>
      </c>
      <c r="L47" s="190">
        <f>+'Ret. y no Rem.'!L47</f>
        <v>0</v>
      </c>
      <c r="M47" s="191">
        <f>L47*(Remuneración!$AL48+Remuneración!$AN48)</f>
        <v>0</v>
      </c>
      <c r="N47" s="190">
        <f>'Ret. y no Rem.'!R47</f>
        <v>0</v>
      </c>
      <c r="O47" s="191">
        <f>N47*(Remuneración!$AL48+Remuneración!$AN48)</f>
        <v>0</v>
      </c>
      <c r="P47" s="190">
        <f>'Ret. y no Rem.'!T47</f>
        <v>0</v>
      </c>
      <c r="Q47" s="191">
        <f>P47*(Remuneración!$AL48+Remuneración!$AN48)</f>
        <v>0</v>
      </c>
      <c r="R47" s="190">
        <f>'Ret. y no Rem.'!V47</f>
        <v>0</v>
      </c>
      <c r="S47" s="191">
        <f>R47*(Remuneración!$AL48+Remuneración!$AN48)</f>
        <v>0</v>
      </c>
      <c r="T47" s="190">
        <f>'Ret. y no Rem.'!X47</f>
        <v>0</v>
      </c>
      <c r="U47" s="191">
        <f>T47*(Remuneración!$AL48+Remuneración!$AN48)</f>
        <v>0</v>
      </c>
      <c r="V47" s="192">
        <f t="shared" si="0"/>
        <v>0</v>
      </c>
      <c r="W47" s="193" t="e">
        <f>+#REF!-V47+Remuneración!AP48</f>
        <v>#REF!</v>
      </c>
    </row>
    <row r="48" spans="2:23">
      <c r="B48" s="189" t="str">
        <f>+Remuneración!B49</f>
        <v/>
      </c>
      <c r="C48" s="189" t="str">
        <f>+Remuneración!C49</f>
        <v/>
      </c>
      <c r="D48" s="190">
        <f>+'Ret. y no Rem.'!D48</f>
        <v>0</v>
      </c>
      <c r="E48" s="191">
        <f>D48*(Remuneración!$AL49+Remuneración!$AN49)</f>
        <v>0</v>
      </c>
      <c r="F48" s="190">
        <f>+'Ret. y no Rem.'!F48</f>
        <v>0</v>
      </c>
      <c r="G48" s="191">
        <f>F48*(Remuneración!$AL49+Remuneración!$AN49)</f>
        <v>0</v>
      </c>
      <c r="H48" s="190">
        <f>+'Ret. y no Rem.'!H48</f>
        <v>0</v>
      </c>
      <c r="I48" s="191">
        <f>H48*(Remuneración!$AL49+Remuneración!$AN49)</f>
        <v>0</v>
      </c>
      <c r="J48" s="190">
        <f>+'Ret. y no Rem.'!J48</f>
        <v>0</v>
      </c>
      <c r="K48" s="191">
        <f>J48*(Remuneración!$AL49+Remuneración!$AN49)</f>
        <v>0</v>
      </c>
      <c r="L48" s="190">
        <f>+'Ret. y no Rem.'!L48</f>
        <v>0</v>
      </c>
      <c r="M48" s="191">
        <f>L48*(Remuneración!$AL49+Remuneración!$AN49)</f>
        <v>0</v>
      </c>
      <c r="N48" s="190">
        <f>'Ret. y no Rem.'!R48</f>
        <v>0</v>
      </c>
      <c r="O48" s="191">
        <f>N48*(Remuneración!$AL49+Remuneración!$AN49)</f>
        <v>0</v>
      </c>
      <c r="P48" s="190">
        <f>'Ret. y no Rem.'!T48</f>
        <v>0</v>
      </c>
      <c r="Q48" s="191">
        <f>P48*(Remuneración!$AL49+Remuneración!$AN49)</f>
        <v>0</v>
      </c>
      <c r="R48" s="190">
        <f>'Ret. y no Rem.'!V48</f>
        <v>0</v>
      </c>
      <c r="S48" s="191">
        <f>R48*(Remuneración!$AL49+Remuneración!$AN49)</f>
        <v>0</v>
      </c>
      <c r="T48" s="190">
        <f>'Ret. y no Rem.'!X48</f>
        <v>0</v>
      </c>
      <c r="U48" s="191">
        <f>T48*(Remuneración!$AL49+Remuneración!$AN49)</f>
        <v>0</v>
      </c>
      <c r="V48" s="192">
        <f t="shared" si="0"/>
        <v>0</v>
      </c>
      <c r="W48" s="193" t="e">
        <f>+#REF!-V48+Remuneración!AP49</f>
        <v>#REF!</v>
      </c>
    </row>
    <row r="49" spans="2:23">
      <c r="B49" s="189" t="str">
        <f>+Remuneración!B50</f>
        <v/>
      </c>
      <c r="C49" s="189" t="str">
        <f>+Remuneración!C50</f>
        <v/>
      </c>
      <c r="D49" s="190">
        <f>+'Ret. y no Rem.'!D49</f>
        <v>0</v>
      </c>
      <c r="E49" s="191">
        <f>D49*(Remuneración!$AL50+Remuneración!$AN50)</f>
        <v>0</v>
      </c>
      <c r="F49" s="190">
        <f>+'Ret. y no Rem.'!F49</f>
        <v>0</v>
      </c>
      <c r="G49" s="191">
        <f>F49*(Remuneración!$AL50+Remuneración!$AN50)</f>
        <v>0</v>
      </c>
      <c r="H49" s="190">
        <f>+'Ret. y no Rem.'!H49</f>
        <v>0</v>
      </c>
      <c r="I49" s="191">
        <f>H49*(Remuneración!$AL50+Remuneración!$AN50)</f>
        <v>0</v>
      </c>
      <c r="J49" s="190">
        <f>+'Ret. y no Rem.'!J49</f>
        <v>0</v>
      </c>
      <c r="K49" s="191">
        <f>J49*(Remuneración!$AL50+Remuneración!$AN50)</f>
        <v>0</v>
      </c>
      <c r="L49" s="190">
        <f>+'Ret. y no Rem.'!L49</f>
        <v>0</v>
      </c>
      <c r="M49" s="191">
        <f>L49*(Remuneración!$AL50+Remuneración!$AN50)</f>
        <v>0</v>
      </c>
      <c r="N49" s="190">
        <f>'Ret. y no Rem.'!R49</f>
        <v>0</v>
      </c>
      <c r="O49" s="191">
        <f>N49*(Remuneración!$AL50+Remuneración!$AN50)</f>
        <v>0</v>
      </c>
      <c r="P49" s="190">
        <f>'Ret. y no Rem.'!T49</f>
        <v>0</v>
      </c>
      <c r="Q49" s="191">
        <f>P49*(Remuneración!$AL50+Remuneración!$AN50)</f>
        <v>0</v>
      </c>
      <c r="R49" s="190">
        <f>'Ret. y no Rem.'!V49</f>
        <v>0</v>
      </c>
      <c r="S49" s="191">
        <f>R49*(Remuneración!$AL50+Remuneración!$AN50)</f>
        <v>0</v>
      </c>
      <c r="T49" s="190">
        <f>'Ret. y no Rem.'!X49</f>
        <v>0</v>
      </c>
      <c r="U49" s="191">
        <f>T49*(Remuneración!$AL50+Remuneración!$AN50)</f>
        <v>0</v>
      </c>
      <c r="V49" s="192">
        <f t="shared" si="0"/>
        <v>0</v>
      </c>
      <c r="W49" s="193" t="e">
        <f>+#REF!-V49+Remuneración!AP50</f>
        <v>#REF!</v>
      </c>
    </row>
    <row r="50" spans="2:23">
      <c r="B50" s="189" t="str">
        <f>+Remuneración!B51</f>
        <v/>
      </c>
      <c r="C50" s="189" t="str">
        <f>+Remuneración!C51</f>
        <v/>
      </c>
      <c r="D50" s="190">
        <f>+'Ret. y no Rem.'!D50</f>
        <v>0</v>
      </c>
      <c r="E50" s="191">
        <f>D50*(Remuneración!$AL51+Remuneración!$AN51)</f>
        <v>0</v>
      </c>
      <c r="F50" s="190">
        <f>+'Ret. y no Rem.'!F50</f>
        <v>0</v>
      </c>
      <c r="G50" s="191">
        <f>F50*(Remuneración!$AL51+Remuneración!$AN51)</f>
        <v>0</v>
      </c>
      <c r="H50" s="190">
        <f>+'Ret. y no Rem.'!H50</f>
        <v>0</v>
      </c>
      <c r="I50" s="191">
        <f>H50*(Remuneración!$AL51+Remuneración!$AN51)</f>
        <v>0</v>
      </c>
      <c r="J50" s="190">
        <f>+'Ret. y no Rem.'!J50</f>
        <v>0</v>
      </c>
      <c r="K50" s="191">
        <f>J50*(Remuneración!$AL51+Remuneración!$AN51)</f>
        <v>0</v>
      </c>
      <c r="L50" s="190">
        <f>+'Ret. y no Rem.'!L50</f>
        <v>0</v>
      </c>
      <c r="M50" s="191">
        <f>L50*(Remuneración!$AL51+Remuneración!$AN51)</f>
        <v>0</v>
      </c>
      <c r="N50" s="190">
        <f>'Ret. y no Rem.'!R50</f>
        <v>0</v>
      </c>
      <c r="O50" s="191">
        <f>N50*(Remuneración!$AL51+Remuneración!$AN51)</f>
        <v>0</v>
      </c>
      <c r="P50" s="190">
        <f>'Ret. y no Rem.'!T50</f>
        <v>0</v>
      </c>
      <c r="Q50" s="191">
        <f>P50*(Remuneración!$AL51+Remuneración!$AN51)</f>
        <v>0</v>
      </c>
      <c r="R50" s="190">
        <f>'Ret. y no Rem.'!V50</f>
        <v>0</v>
      </c>
      <c r="S50" s="191">
        <f>R50*(Remuneración!$AL51+Remuneración!$AN51)</f>
        <v>0</v>
      </c>
      <c r="T50" s="190">
        <f>'Ret. y no Rem.'!X50</f>
        <v>0</v>
      </c>
      <c r="U50" s="191">
        <f>T50*(Remuneración!$AL51+Remuneración!$AN51)</f>
        <v>0</v>
      </c>
      <c r="V50" s="192">
        <f t="shared" si="0"/>
        <v>0</v>
      </c>
      <c r="W50" s="193" t="e">
        <f>+#REF!-V50+Remuneración!AP51</f>
        <v>#REF!</v>
      </c>
    </row>
    <row r="51" spans="2:23">
      <c r="B51" s="189" t="str">
        <f>+Remuneración!B52</f>
        <v/>
      </c>
      <c r="C51" s="189" t="str">
        <f>+Remuneración!C52</f>
        <v/>
      </c>
      <c r="D51" s="190">
        <f>+'Ret. y no Rem.'!D51</f>
        <v>0</v>
      </c>
      <c r="E51" s="191">
        <f>D51*(Remuneración!$AL52+Remuneración!$AN52)</f>
        <v>0</v>
      </c>
      <c r="F51" s="190">
        <f>+'Ret. y no Rem.'!F51</f>
        <v>0</v>
      </c>
      <c r="G51" s="191">
        <f>F51*(Remuneración!$AL52+Remuneración!$AN52)</f>
        <v>0</v>
      </c>
      <c r="H51" s="190">
        <f>+'Ret. y no Rem.'!H51</f>
        <v>0</v>
      </c>
      <c r="I51" s="191">
        <f>H51*(Remuneración!$AL52+Remuneración!$AN52)</f>
        <v>0</v>
      </c>
      <c r="J51" s="190">
        <f>+'Ret. y no Rem.'!J51</f>
        <v>0</v>
      </c>
      <c r="K51" s="191">
        <f>J51*(Remuneración!$AL52+Remuneración!$AN52)</f>
        <v>0</v>
      </c>
      <c r="L51" s="190">
        <f>+'Ret. y no Rem.'!L51</f>
        <v>0</v>
      </c>
      <c r="M51" s="191">
        <f>L51*(Remuneración!$AL52+Remuneración!$AN52)</f>
        <v>0</v>
      </c>
      <c r="N51" s="190">
        <f>'Ret. y no Rem.'!R51</f>
        <v>0</v>
      </c>
      <c r="O51" s="191">
        <f>N51*(Remuneración!$AL52+Remuneración!$AN52)</f>
        <v>0</v>
      </c>
      <c r="P51" s="190">
        <f>'Ret. y no Rem.'!T51</f>
        <v>0</v>
      </c>
      <c r="Q51" s="191">
        <f>P51*(Remuneración!$AL52+Remuneración!$AN52)</f>
        <v>0</v>
      </c>
      <c r="R51" s="190">
        <f>'Ret. y no Rem.'!V51</f>
        <v>0</v>
      </c>
      <c r="S51" s="191">
        <f>R51*(Remuneración!$AL52+Remuneración!$AN52)</f>
        <v>0</v>
      </c>
      <c r="T51" s="190">
        <f>'Ret. y no Rem.'!X51</f>
        <v>0</v>
      </c>
      <c r="U51" s="191">
        <f>T51*(Remuneración!$AL52+Remuneración!$AN52)</f>
        <v>0</v>
      </c>
      <c r="V51" s="192">
        <f t="shared" si="0"/>
        <v>0</v>
      </c>
      <c r="W51" s="193" t="e">
        <f>+#REF!-V51+Remuneración!AP52</f>
        <v>#REF!</v>
      </c>
    </row>
    <row r="52" spans="2:23">
      <c r="B52" s="189" t="str">
        <f>+Remuneración!B53</f>
        <v/>
      </c>
      <c r="C52" s="189" t="str">
        <f>+Remuneración!C53</f>
        <v/>
      </c>
      <c r="D52" s="190">
        <f>+'Ret. y no Rem.'!D52</f>
        <v>0</v>
      </c>
      <c r="E52" s="191">
        <f>D52*(Remuneración!$AL53+Remuneración!$AN53)</f>
        <v>0</v>
      </c>
      <c r="F52" s="190">
        <f>+'Ret. y no Rem.'!F52</f>
        <v>0</v>
      </c>
      <c r="G52" s="191">
        <f>F52*(Remuneración!$AL53+Remuneración!$AN53)</f>
        <v>0</v>
      </c>
      <c r="H52" s="190">
        <f>+'Ret. y no Rem.'!H52</f>
        <v>0</v>
      </c>
      <c r="I52" s="191">
        <f>H52*(Remuneración!$AL53+Remuneración!$AN53)</f>
        <v>0</v>
      </c>
      <c r="J52" s="190">
        <f>+'Ret. y no Rem.'!J52</f>
        <v>0</v>
      </c>
      <c r="K52" s="191">
        <f>J52*(Remuneración!$AL53+Remuneración!$AN53)</f>
        <v>0</v>
      </c>
      <c r="L52" s="190">
        <f>+'Ret. y no Rem.'!L52</f>
        <v>0</v>
      </c>
      <c r="M52" s="191">
        <f>L52*(Remuneración!$AL53+Remuneración!$AN53)</f>
        <v>0</v>
      </c>
      <c r="N52" s="190">
        <f>'Ret. y no Rem.'!R52</f>
        <v>0</v>
      </c>
      <c r="O52" s="191">
        <f>N52*(Remuneración!$AL53+Remuneración!$AN53)</f>
        <v>0</v>
      </c>
      <c r="P52" s="190">
        <f>'Ret. y no Rem.'!T52</f>
        <v>0</v>
      </c>
      <c r="Q52" s="191">
        <f>P52*(Remuneración!$AL53+Remuneración!$AN53)</f>
        <v>0</v>
      </c>
      <c r="R52" s="190">
        <f>'Ret. y no Rem.'!V52</f>
        <v>0</v>
      </c>
      <c r="S52" s="191">
        <f>R52*(Remuneración!$AL53+Remuneración!$AN53)</f>
        <v>0</v>
      </c>
      <c r="T52" s="190">
        <f>'Ret. y no Rem.'!X52</f>
        <v>0</v>
      </c>
      <c r="U52" s="191">
        <f>T52*(Remuneración!$AL53+Remuneración!$AN53)</f>
        <v>0</v>
      </c>
      <c r="V52" s="192">
        <f t="shared" si="0"/>
        <v>0</v>
      </c>
      <c r="W52" s="193" t="e">
        <f>+#REF!-V52+Remuneración!AP53</f>
        <v>#REF!</v>
      </c>
    </row>
    <row r="53" spans="2:23">
      <c r="B53" s="189" t="str">
        <f>+Remuneración!B54</f>
        <v/>
      </c>
      <c r="C53" s="189" t="str">
        <f>+Remuneración!C54</f>
        <v/>
      </c>
      <c r="D53" s="190">
        <f>+'Ret. y no Rem.'!D53</f>
        <v>0</v>
      </c>
      <c r="E53" s="191">
        <f>D53*(Remuneración!$AL54+Remuneración!$AN54)</f>
        <v>0</v>
      </c>
      <c r="F53" s="190">
        <f>+'Ret. y no Rem.'!F53</f>
        <v>0</v>
      </c>
      <c r="G53" s="191">
        <f>F53*(Remuneración!$AL54+Remuneración!$AN54)</f>
        <v>0</v>
      </c>
      <c r="H53" s="190">
        <f>+'Ret. y no Rem.'!H53</f>
        <v>0</v>
      </c>
      <c r="I53" s="191">
        <f>H53*(Remuneración!$AL54+Remuneración!$AN54)</f>
        <v>0</v>
      </c>
      <c r="J53" s="190">
        <f>+'Ret. y no Rem.'!J53</f>
        <v>0</v>
      </c>
      <c r="K53" s="191">
        <f>J53*(Remuneración!$AL54+Remuneración!$AN54)</f>
        <v>0</v>
      </c>
      <c r="L53" s="190">
        <f>+'Ret. y no Rem.'!L53</f>
        <v>0</v>
      </c>
      <c r="M53" s="191">
        <f>L53*(Remuneración!$AL54+Remuneración!$AN54)</f>
        <v>0</v>
      </c>
      <c r="N53" s="190">
        <f>'Ret. y no Rem.'!R53</f>
        <v>0</v>
      </c>
      <c r="O53" s="191">
        <f>N53*(Remuneración!$AL54+Remuneración!$AN54)</f>
        <v>0</v>
      </c>
      <c r="P53" s="190">
        <f>'Ret. y no Rem.'!T53</f>
        <v>0</v>
      </c>
      <c r="Q53" s="191">
        <f>P53*(Remuneración!$AL54+Remuneración!$AN54)</f>
        <v>0</v>
      </c>
      <c r="R53" s="190">
        <f>'Ret. y no Rem.'!V53</f>
        <v>0</v>
      </c>
      <c r="S53" s="191">
        <f>R53*(Remuneración!$AL54+Remuneración!$AN54)</f>
        <v>0</v>
      </c>
      <c r="T53" s="190">
        <f>'Ret. y no Rem.'!X53</f>
        <v>0</v>
      </c>
      <c r="U53" s="191">
        <f>T53*(Remuneración!$AL54+Remuneración!$AN54)</f>
        <v>0</v>
      </c>
      <c r="V53" s="192">
        <f t="shared" si="0"/>
        <v>0</v>
      </c>
      <c r="W53" s="193" t="e">
        <f>+#REF!-V53+Remuneración!AP54</f>
        <v>#REF!</v>
      </c>
    </row>
    <row r="54" spans="2:23">
      <c r="B54" s="189" t="str">
        <f>+Remuneración!B55</f>
        <v/>
      </c>
      <c r="C54" s="189" t="str">
        <f>+Remuneración!C55</f>
        <v/>
      </c>
      <c r="D54" s="190">
        <f>+'Ret. y no Rem.'!D54</f>
        <v>0</v>
      </c>
      <c r="E54" s="191">
        <f>D54*(Remuneración!$AL55+Remuneración!$AN55)</f>
        <v>0</v>
      </c>
      <c r="F54" s="190">
        <f>+'Ret. y no Rem.'!F54</f>
        <v>0</v>
      </c>
      <c r="G54" s="191">
        <f>F54*(Remuneración!$AL55+Remuneración!$AN55)</f>
        <v>0</v>
      </c>
      <c r="H54" s="190">
        <f>+'Ret. y no Rem.'!H54</f>
        <v>0</v>
      </c>
      <c r="I54" s="191">
        <f>H54*(Remuneración!$AL55+Remuneración!$AN55)</f>
        <v>0</v>
      </c>
      <c r="J54" s="190">
        <f>+'Ret. y no Rem.'!J54</f>
        <v>0</v>
      </c>
      <c r="K54" s="191">
        <f>J54*(Remuneración!$AL55+Remuneración!$AN55)</f>
        <v>0</v>
      </c>
      <c r="L54" s="190">
        <f>+'Ret. y no Rem.'!L54</f>
        <v>0</v>
      </c>
      <c r="M54" s="191">
        <f>L54*(Remuneración!$AL55+Remuneración!$AN55)</f>
        <v>0</v>
      </c>
      <c r="N54" s="190">
        <f>'Ret. y no Rem.'!R54</f>
        <v>0</v>
      </c>
      <c r="O54" s="191">
        <f>N54*(Remuneración!$AL55+Remuneración!$AN55)</f>
        <v>0</v>
      </c>
      <c r="P54" s="190">
        <f>'Ret. y no Rem.'!T54</f>
        <v>0</v>
      </c>
      <c r="Q54" s="191">
        <f>P54*(Remuneración!$AL55+Remuneración!$AN55)</f>
        <v>0</v>
      </c>
      <c r="R54" s="190">
        <f>'Ret. y no Rem.'!V54</f>
        <v>0</v>
      </c>
      <c r="S54" s="191">
        <f>R54*(Remuneración!$AL55+Remuneración!$AN55)</f>
        <v>0</v>
      </c>
      <c r="T54" s="190">
        <f>'Ret. y no Rem.'!X54</f>
        <v>0</v>
      </c>
      <c r="U54" s="191">
        <f>T54*(Remuneración!$AL55+Remuneración!$AN55)</f>
        <v>0</v>
      </c>
      <c r="V54" s="192">
        <f t="shared" si="0"/>
        <v>0</v>
      </c>
      <c r="W54" s="193" t="e">
        <f>+#REF!-V54+Remuneración!AP55</f>
        <v>#REF!</v>
      </c>
    </row>
    <row r="55" spans="2:23">
      <c r="B55" s="189" t="str">
        <f>+Remuneración!B56</f>
        <v/>
      </c>
      <c r="C55" s="189" t="str">
        <f>+Remuneración!C56</f>
        <v/>
      </c>
      <c r="D55" s="190">
        <f>+'Ret. y no Rem.'!D55</f>
        <v>0</v>
      </c>
      <c r="E55" s="191">
        <f>D55*(Remuneración!$AL56+Remuneración!$AN56)</f>
        <v>0</v>
      </c>
      <c r="F55" s="190">
        <f>+'Ret. y no Rem.'!F55</f>
        <v>0</v>
      </c>
      <c r="G55" s="191">
        <f>F55*(Remuneración!$AL56+Remuneración!$AN56)</f>
        <v>0</v>
      </c>
      <c r="H55" s="190">
        <f>+'Ret. y no Rem.'!H55</f>
        <v>0</v>
      </c>
      <c r="I55" s="191">
        <f>H55*(Remuneración!$AL56+Remuneración!$AN56)</f>
        <v>0</v>
      </c>
      <c r="J55" s="190">
        <f>+'Ret. y no Rem.'!J55</f>
        <v>0</v>
      </c>
      <c r="K55" s="191">
        <f>J55*(Remuneración!$AL56+Remuneración!$AN56)</f>
        <v>0</v>
      </c>
      <c r="L55" s="190">
        <f>+'Ret. y no Rem.'!L55</f>
        <v>0</v>
      </c>
      <c r="M55" s="191">
        <f>L55*(Remuneración!$AL56+Remuneración!$AN56)</f>
        <v>0</v>
      </c>
      <c r="N55" s="190">
        <f>'Ret. y no Rem.'!R55</f>
        <v>0</v>
      </c>
      <c r="O55" s="191">
        <f>N55*(Remuneración!$AL56+Remuneración!$AN56)</f>
        <v>0</v>
      </c>
      <c r="P55" s="190">
        <f>'Ret. y no Rem.'!T55</f>
        <v>0</v>
      </c>
      <c r="Q55" s="191">
        <f>P55*(Remuneración!$AL56+Remuneración!$AN56)</f>
        <v>0</v>
      </c>
      <c r="R55" s="190">
        <f>'Ret. y no Rem.'!V55</f>
        <v>0</v>
      </c>
      <c r="S55" s="191">
        <f>R55*(Remuneración!$AL56+Remuneración!$AN56)</f>
        <v>0</v>
      </c>
      <c r="T55" s="190">
        <f>'Ret. y no Rem.'!X55</f>
        <v>0</v>
      </c>
      <c r="U55" s="191">
        <f>T55*(Remuneración!$AL56+Remuneración!$AN56)</f>
        <v>0</v>
      </c>
      <c r="V55" s="192">
        <f t="shared" si="0"/>
        <v>0</v>
      </c>
      <c r="W55" s="193" t="e">
        <f>+#REF!-V55+Remuneración!AP56</f>
        <v>#REF!</v>
      </c>
    </row>
    <row r="56" spans="2:23">
      <c r="B56" s="189" t="str">
        <f>+Remuneración!B58</f>
        <v/>
      </c>
      <c r="C56" s="189" t="str">
        <f>+Remuneración!C58</f>
        <v/>
      </c>
      <c r="D56" s="190">
        <f>+'Ret. y no Rem.'!D56</f>
        <v>0</v>
      </c>
      <c r="E56" s="191">
        <f>D56*(Remuneración!$AL58+Remuneración!$AN58)</f>
        <v>0</v>
      </c>
      <c r="F56" s="190">
        <f>+'Ret. y no Rem.'!F56</f>
        <v>0</v>
      </c>
      <c r="G56" s="191">
        <f>F56*(Remuneración!$AL58+Remuneración!$AN58)</f>
        <v>0</v>
      </c>
      <c r="H56" s="190">
        <f>+'Ret. y no Rem.'!H56</f>
        <v>0</v>
      </c>
      <c r="I56" s="191">
        <f>H56*(Remuneración!$AL58+Remuneración!$AN58)</f>
        <v>0</v>
      </c>
      <c r="J56" s="190">
        <f>+'Ret. y no Rem.'!J56</f>
        <v>0</v>
      </c>
      <c r="K56" s="191">
        <f>J56*(Remuneración!$AL58+Remuneración!$AN58)</f>
        <v>0</v>
      </c>
      <c r="L56" s="190">
        <f>+'Ret. y no Rem.'!L56</f>
        <v>0</v>
      </c>
      <c r="M56" s="191">
        <f>L56*(Remuneración!$AL58+Remuneración!$AN58)</f>
        <v>0</v>
      </c>
      <c r="N56" s="190">
        <f>'Ret. y no Rem.'!R56</f>
        <v>0</v>
      </c>
      <c r="O56" s="191">
        <f>N56*(Remuneración!$AL58+Remuneración!$AN58)</f>
        <v>0</v>
      </c>
      <c r="P56" s="190">
        <f>'Ret. y no Rem.'!T56</f>
        <v>0</v>
      </c>
      <c r="Q56" s="191">
        <f>P56*(Remuneración!$AL58+Remuneración!$AN58)</f>
        <v>0</v>
      </c>
      <c r="R56" s="190">
        <f>'Ret. y no Rem.'!V56</f>
        <v>0</v>
      </c>
      <c r="S56" s="191">
        <f>R56*(Remuneración!$AL58+Remuneración!$AN58)</f>
        <v>0</v>
      </c>
      <c r="T56" s="190">
        <f>'Ret. y no Rem.'!X56</f>
        <v>0</v>
      </c>
      <c r="U56" s="191">
        <f>T56*(Remuneración!$AL58+Remuneración!$AN58)</f>
        <v>0</v>
      </c>
      <c r="V56" s="192">
        <f t="shared" si="0"/>
        <v>0</v>
      </c>
      <c r="W56" s="193" t="e">
        <f>+#REF!-V56+Remuneración!AP58</f>
        <v>#REF!</v>
      </c>
    </row>
    <row r="57" spans="2:23">
      <c r="U57" s="194"/>
      <c r="V57" s="195"/>
    </row>
  </sheetData>
  <mergeCells count="10">
    <mergeCell ref="E2:U2"/>
    <mergeCell ref="D5:E5"/>
    <mergeCell ref="F5:G5"/>
    <mergeCell ref="H5:I5"/>
    <mergeCell ref="J5:K5"/>
    <mergeCell ref="L5:M5"/>
    <mergeCell ref="N5:O5"/>
    <mergeCell ref="P5:Q5"/>
    <mergeCell ref="R5:S5"/>
    <mergeCell ref="T5:U5"/>
  </mergeCells>
  <pageMargins left="0.75" right="0.75" top="1" bottom="1" header="0.5" footer="0.5"/>
  <pageSetup paperSize="9" scale="49" orientation="landscape" horizontalDpi="300" verticalDpi="300"/>
  <headerFooter alignWithMargins="0"/>
  <rowBreaks count="1" manualBreakCount="1">
    <brk id="52" max="2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Hoja6"/>
  <dimension ref="A1:AK163"/>
  <sheetViews>
    <sheetView showGridLines="0" zoomScaleSheetLayoutView="60" topLeftCell="A2" workbookViewId="0">
      <selection activeCell="F6" sqref="F6"/>
    </sheetView>
  </sheetViews>
  <sheetFormatPr defaultColWidth="11.4285714285714" defaultRowHeight="12.75"/>
  <cols>
    <col min="1" max="1" width="1.57142857142857" style="39" customWidth="1"/>
    <col min="2" max="2" width="1.71428571428571" style="39" customWidth="1"/>
    <col min="3" max="3" width="17.7142857142857" style="39" customWidth="1"/>
    <col min="4" max="4" width="1.28571428571429" style="39" customWidth="1"/>
    <col min="5" max="5" width="9.85714285714286" style="39" customWidth="1"/>
    <col min="6" max="6" width="11.7142857142857" style="39" customWidth="1"/>
    <col min="7" max="7" width="14.1428571428571" style="39" customWidth="1"/>
    <col min="8" max="8" width="17.2857142857143" style="39" customWidth="1"/>
    <col min="9" max="9" width="12.1428571428571" style="39" customWidth="1"/>
    <col min="10" max="10" width="14.7142857142857" style="39" customWidth="1"/>
    <col min="11" max="11" width="1.71428571428571" style="39" customWidth="1"/>
    <col min="12" max="12" width="8.28571428571429" style="38" hidden="1" customWidth="1"/>
    <col min="13" max="16384" width="11.4285714285714" style="39"/>
  </cols>
  <sheetData>
    <row r="1" s="23" customFormat="1" ht="6" customHeight="1" spans="2:37">
      <c r="D1" s="24"/>
      <c r="F1" s="24"/>
      <c r="H1" s="24"/>
      <c r="J1" s="24"/>
      <c r="L1" s="24"/>
      <c r="N1" s="24"/>
      <c r="P1" s="24"/>
      <c r="R1" s="24"/>
      <c r="T1" s="24"/>
      <c r="V1" s="24"/>
      <c r="X1" s="24"/>
      <c r="AJ1" s="25"/>
      <c r="AK1" s="25"/>
    </row>
    <row r="2" s="19" customFormat="1" ht="21.75" customHeight="1" spans="2:37">
      <c r="B2" s="26" t="s">
        <v>256</v>
      </c>
      <c r="C2" s="26"/>
      <c r="D2" s="26"/>
      <c r="E2" s="26"/>
      <c r="F2" s="26"/>
      <c r="G2" s="26"/>
      <c r="H2" s="26"/>
    </row>
    <row r="3" s="140" customFormat="1" ht="21.75" customHeight="1" spans="2:37">
      <c r="B3" s="141"/>
      <c r="C3" s="141"/>
      <c r="D3" s="141"/>
      <c r="E3" s="141"/>
      <c r="F3" s="141"/>
      <c r="G3" s="141"/>
      <c r="H3" s="141"/>
      <c r="L3" s="37"/>
    </row>
    <row r="4" s="38" customFormat="1" ht="5.25" customHeight="1" spans="2:37">
      <c r="B4" s="42"/>
      <c r="C4" s="43"/>
      <c r="D4" s="43"/>
      <c r="E4" s="43"/>
      <c r="F4" s="43"/>
      <c r="G4" s="43"/>
      <c r="H4" s="44"/>
      <c r="I4" s="43"/>
      <c r="J4" s="45"/>
      <c r="K4" s="44"/>
    </row>
    <row r="5" s="38" customFormat="1" spans="2:37">
      <c r="B5" s="46"/>
      <c r="C5" s="47" t="str">
        <f>IF(OR(Empleador!D6="",J6=""),"",Empleador!D6)</f>
        <v>CARETTA MARIA DEL CARMEN</v>
      </c>
      <c r="D5" s="48"/>
      <c r="E5" s="48"/>
      <c r="F5" s="48" t="str">
        <f>IF(OR(Empleador!D8="",J6=""),"",Empleador!D8)</f>
        <v>CMTE RODRIGUEZ Nº 147</v>
      </c>
      <c r="H5" s="49"/>
      <c r="I5" s="50" t="s">
        <v>257</v>
      </c>
      <c r="J5" s="51"/>
      <c r="K5" s="49"/>
    </row>
    <row r="6" s="38" customFormat="1" spans="2:37">
      <c r="B6" s="46"/>
      <c r="C6" s="48" t="str">
        <f>IF(J6="","","CUIT: "&amp;Empleador!D7)</f>
        <v>CUIT: 27202918684</v>
      </c>
      <c r="D6" s="48"/>
      <c r="E6" s="48"/>
      <c r="F6" s="48" t="str">
        <f>IF(OR(Empleador!D9="",Empleador!D10="",J6="")=TRUE,"",Empleador!D9&amp;"; "&amp;Empleador!D10)</f>
        <v>MALARGUE; Mendoza</v>
      </c>
      <c r="H6" s="49"/>
      <c r="I6" s="142" t="s">
        <v>258</v>
      </c>
      <c r="J6" s="143">
        <v>2</v>
      </c>
      <c r="K6" s="49"/>
    </row>
    <row r="7" s="38" customFormat="1" ht="5.25" customHeight="1" spans="2:37">
      <c r="B7" s="54"/>
      <c r="C7" s="55"/>
      <c r="D7" s="55"/>
      <c r="E7" s="55"/>
      <c r="F7" s="55"/>
      <c r="G7" s="55"/>
      <c r="H7" s="56"/>
      <c r="I7" s="54"/>
      <c r="J7" s="55"/>
      <c r="K7" s="56"/>
    </row>
    <row r="8" s="38" customFormat="1" ht="6" customHeight="1" spans="2:37">
      <c r="B8" s="42"/>
      <c r="C8" s="43"/>
      <c r="D8" s="43"/>
      <c r="E8" s="43"/>
      <c r="F8" s="43"/>
      <c r="G8" s="43"/>
      <c r="H8" s="43"/>
      <c r="I8" s="43"/>
      <c r="J8" s="43"/>
      <c r="K8" s="44"/>
    </row>
    <row r="9" s="38" customFormat="1" ht="27" customHeight="1" spans="2:37">
      <c r="B9" s="46"/>
      <c r="C9" s="57" t="s">
        <v>259</v>
      </c>
      <c r="D9" s="144"/>
      <c r="E9" s="145"/>
      <c r="F9" s="60" t="s">
        <v>168</v>
      </c>
      <c r="G9" s="60" t="s">
        <v>170</v>
      </c>
      <c r="H9" s="60" t="s">
        <v>260</v>
      </c>
      <c r="I9" s="60" t="s">
        <v>3</v>
      </c>
      <c r="J9" s="61" t="s">
        <v>261</v>
      </c>
      <c r="K9" s="62"/>
    </row>
    <row r="10" s="38" customFormat="1" ht="13.5" customHeight="1" spans="2:37">
      <c r="B10" s="46"/>
      <c r="C10" s="63" t="str">
        <f>IF(J6="","",VLOOKUP(J6,TablaEmpleados,3,FALSE))</f>
        <v>QUIROGA VANINA LEONELA</v>
      </c>
      <c r="D10" s="64"/>
      <c r="E10" s="64"/>
      <c r="F10" s="65">
        <f>IF($J$6="","",VLOOKUP($J$6,TablaEmpleados,2,FALSE))</f>
        <v>40910</v>
      </c>
      <c r="G10" s="66" t="str">
        <f>IF($J$6="","",VLOOKUP($J$6,TablaEmpleados,4,FALSE))</f>
        <v>27-34642729-4</v>
      </c>
      <c r="H10" s="66">
        <f>IF($J$6="","",VLOOKUP($J$6,TablaEmpleados,11,FALSE))</f>
        <v>0</v>
      </c>
      <c r="I10" s="66" t="str">
        <f>IF($J$6="","",VLOOKUP($J$6,TablaEmpleados,14,FALSE))</f>
        <v>SIPA</v>
      </c>
      <c r="J10" s="67">
        <f>Empleados!G9</f>
        <v>2043.52</v>
      </c>
      <c r="K10" s="62"/>
    </row>
    <row r="11" s="38" customFormat="1" ht="5.25" customHeight="1" spans="2:37">
      <c r="B11" s="46"/>
      <c r="C11" s="68"/>
      <c r="D11" s="68"/>
      <c r="E11" s="68"/>
      <c r="F11" s="68"/>
      <c r="G11" s="68"/>
      <c r="H11" s="68"/>
      <c r="I11" s="68"/>
      <c r="J11" s="68"/>
      <c r="K11" s="49"/>
    </row>
    <row r="12" s="38" customFormat="1" ht="25.5" customHeight="1" spans="2:37">
      <c r="B12" s="62"/>
      <c r="C12" s="69" t="s">
        <v>262</v>
      </c>
      <c r="D12" s="61" t="s">
        <v>263</v>
      </c>
      <c r="E12" s="70"/>
      <c r="F12" s="70"/>
      <c r="G12" s="69"/>
      <c r="H12" s="71" t="s">
        <v>264</v>
      </c>
      <c r="I12" s="72" t="s">
        <v>177</v>
      </c>
      <c r="J12" s="73"/>
      <c r="K12" s="49"/>
    </row>
    <row r="13" s="38" customFormat="1" ht="13.5" spans="2:37">
      <c r="B13" s="62"/>
      <c r="C13" s="74">
        <v>40878</v>
      </c>
      <c r="D13" s="146" t="s">
        <v>265</v>
      </c>
      <c r="E13" s="147"/>
      <c r="F13" s="147"/>
      <c r="G13" s="148"/>
      <c r="H13" s="76">
        <v>40931</v>
      </c>
      <c r="I13" s="77" t="str">
        <f>IF($J$6="","",VLOOKUP($J$6,TablaEmpleados,12,FALSE))</f>
        <v>VENDEDOR</v>
      </c>
      <c r="J13" s="78"/>
      <c r="K13" s="49"/>
    </row>
    <row r="14" s="38" customFormat="1" ht="5.25" customHeight="1" spans="2:37">
      <c r="B14" s="46"/>
      <c r="C14" s="79"/>
      <c r="D14" s="79"/>
      <c r="E14" s="79"/>
      <c r="F14" s="79"/>
      <c r="G14" s="79"/>
      <c r="H14" s="79"/>
      <c r="I14" s="79"/>
      <c r="J14" s="79"/>
      <c r="K14" s="49"/>
    </row>
    <row r="15" s="38" customFormat="1" ht="15" customHeight="1" spans="2:37">
      <c r="B15" s="46"/>
      <c r="C15" s="80" t="s">
        <v>266</v>
      </c>
      <c r="D15" s="81"/>
      <c r="E15" s="81" t="s">
        <v>267</v>
      </c>
      <c r="F15" s="81"/>
      <c r="G15" s="81"/>
      <c r="H15" s="81" t="s">
        <v>268</v>
      </c>
      <c r="I15" s="81" t="s">
        <v>269</v>
      </c>
      <c r="J15" s="82"/>
      <c r="K15" s="49"/>
    </row>
    <row r="16" s="38" customFormat="1" ht="13.5" spans="2:37">
      <c r="B16" s="46"/>
      <c r="C16" s="83">
        <f>IF(J6="","",Remuneración!C4)</f>
        <v>41000</v>
      </c>
      <c r="D16" s="84"/>
      <c r="E16" s="84" t="str">
        <f>IF(J6="","",Empleador!D12)</f>
        <v>Malargue, Mza</v>
      </c>
      <c r="F16" s="84"/>
      <c r="G16" s="84"/>
      <c r="H16" s="76">
        <v>41035</v>
      </c>
      <c r="I16" s="86" t="str">
        <f>IF($J$6="","",VLOOKUP($J$6,TablaEmpleados,13,FALSE))</f>
        <v>Categ. B</v>
      </c>
      <c r="J16" s="87"/>
      <c r="K16" s="62"/>
    </row>
    <row r="17" s="38" customFormat="1" ht="5.25" customHeight="1" spans="2:13">
      <c r="B17" s="46"/>
      <c r="C17" s="79"/>
      <c r="D17" s="79"/>
      <c r="E17" s="79"/>
      <c r="F17" s="79"/>
      <c r="G17" s="79"/>
      <c r="H17" s="79"/>
      <c r="I17" s="79"/>
      <c r="J17" s="79"/>
      <c r="K17" s="49"/>
    </row>
    <row r="18" s="38" customFormat="1" ht="26.25" customHeight="1" spans="2:13">
      <c r="B18" s="46"/>
      <c r="C18" s="88" t="s">
        <v>270</v>
      </c>
      <c r="D18" s="89"/>
      <c r="E18" s="90"/>
      <c r="F18" s="91" t="s">
        <v>271</v>
      </c>
      <c r="G18" s="91" t="s">
        <v>82</v>
      </c>
      <c r="H18" s="91" t="s">
        <v>272</v>
      </c>
      <c r="I18" s="91" t="s">
        <v>273</v>
      </c>
      <c r="J18" s="92" t="s">
        <v>274</v>
      </c>
      <c r="K18" s="49"/>
    </row>
    <row r="19" s="38" customFormat="1" spans="2:13">
      <c r="B19" s="93" t="s">
        <v>275</v>
      </c>
      <c r="C19" s="94" t="str">
        <f>IF($J$6="","",IF(VLOOKUP($J$6,TablaEmpleados,5,FALSE)&lt;&gt;"",Empleados!G6,""))</f>
        <v>Sueldo Básico</v>
      </c>
      <c r="D19" s="48"/>
      <c r="E19" s="48"/>
      <c r="F19" s="149">
        <v>30</v>
      </c>
      <c r="G19" s="150"/>
      <c r="H19" s="136">
        <f>J10</f>
        <v>2043.52</v>
      </c>
      <c r="I19" s="137"/>
      <c r="J19" s="136"/>
      <c r="K19" s="49"/>
    </row>
    <row r="20" s="38" customFormat="1" hidden="1" spans="2:13">
      <c r="B20" s="93"/>
      <c r="C20" s="94" t="str">
        <f>IF($J$6="","",IF(VLOOKUP($J$6,TablaEmpleados,7,FALSE)&lt;&gt;"",Empleados!I6,""))</f>
        <v/>
      </c>
      <c r="D20" s="48"/>
      <c r="E20" s="48"/>
      <c r="F20" s="151"/>
      <c r="G20" s="150"/>
      <c r="H20" s="136">
        <f>IF($J$6="",0,IF(C20="",0,VLOOKUP($J$6,TablaEmpleados,8,FALSE)))</f>
        <v>0</v>
      </c>
      <c r="I20" s="137"/>
      <c r="J20" s="136"/>
      <c r="K20" s="49"/>
    </row>
    <row r="21" s="38" customFormat="1" hidden="1" spans="2:13">
      <c r="B21" s="93"/>
      <c r="C21" s="94" t="str">
        <f>IF($J$6="","",IF(VLOOKUP($J$6,TablaEmpleados,9,FALSE)&lt;&gt;"",Empleados!K6,""))</f>
        <v/>
      </c>
      <c r="D21" s="48"/>
      <c r="E21" s="48"/>
      <c r="F21" s="149"/>
      <c r="G21" s="150"/>
      <c r="H21" s="136">
        <f>IF($J$6="",0,IF(C21="",0,VLOOKUP($J$6,TablaEmpleados,10,FALSE)))</f>
        <v>0</v>
      </c>
      <c r="I21" s="98"/>
      <c r="J21" s="97"/>
      <c r="K21" s="49"/>
    </row>
    <row r="22" s="38" customFormat="1" hidden="1" spans="2:13">
      <c r="B22" s="93"/>
      <c r="C22" s="94" t="str">
        <f>IF($J$6="","",IF(VLOOKUP($J$6,TablaRemuneracion,5,FALSE)&lt;&gt;"",Remuneración!F6,""))</f>
        <v/>
      </c>
      <c r="D22" s="48"/>
      <c r="E22" s="48"/>
      <c r="F22" s="149" t="str">
        <f>IF(C22="","",VLOOKUP($J$6,TablaRemuneracion,5,FALSE))</f>
        <v/>
      </c>
      <c r="G22" s="152"/>
      <c r="H22" s="153">
        <f>IF(C22="",0,IF($J$6="",0,VLOOKUP($J$6,TablaRemuneracion,6,FALSE)))</f>
        <v>0</v>
      </c>
      <c r="I22" s="154"/>
      <c r="J22" s="153"/>
      <c r="K22" s="49"/>
    </row>
    <row r="23" s="38" customFormat="1" hidden="1" spans="2:13">
      <c r="B23" s="93"/>
      <c r="C23" s="94" t="str">
        <f>IF($J$6="","",IF(VLOOKUP($J$6,TablaRemuneracion,7,FALSE)&lt;&gt;"",Remuneración!H6,""))</f>
        <v/>
      </c>
      <c r="D23" s="155"/>
      <c r="E23" s="155"/>
      <c r="F23" s="149" t="str">
        <f>IF(C23="","",VLOOKUP($J$6,TablaRemuneracion,7,FALSE))</f>
        <v/>
      </c>
      <c r="G23" s="150"/>
      <c r="H23" s="136">
        <f>IF(C23="",0,-IF($J$6="",0,VLOOKUP($J$6,TablaRemuneracion,8,FALSE)))</f>
        <v>0</v>
      </c>
      <c r="I23" s="137"/>
      <c r="J23" s="136"/>
      <c r="K23" s="49"/>
    </row>
    <row r="24" s="38" customFormat="1" hidden="1" spans="2:13">
      <c r="B24" s="93"/>
      <c r="C24" s="94" t="str">
        <f>IF($J$6="","",IF(VLOOKUP($J$6,TablaRemuneracion,9,FALSE)&lt;&gt;"",Remuneración!J6,""))</f>
        <v/>
      </c>
      <c r="D24" s="48"/>
      <c r="E24" s="48"/>
      <c r="F24" s="149" t="str">
        <f>IF(C24="","",VLOOKUP($J$6,TablaRemuneracion,9,FALSE))</f>
        <v/>
      </c>
      <c r="G24" s="150"/>
      <c r="H24" s="136">
        <f>IF(C24="",0,IF($J$6="",0,VLOOKUP($J$6,TablaRemuneracion,10,FALSE)))</f>
        <v>0</v>
      </c>
      <c r="I24" s="137"/>
      <c r="J24" s="136"/>
      <c r="K24" s="49"/>
    </row>
    <row r="25" s="38" customFormat="1" hidden="1" spans="2:13">
      <c r="B25" s="93"/>
      <c r="C25" s="94" t="str">
        <f>IF($J$6="","",IF(VLOOKUP($J$6,TablaRemuneracion,11,FALSE)&lt;&gt;"",Remuneración!L6,""))</f>
        <v/>
      </c>
      <c r="D25" s="48"/>
      <c r="E25" s="48"/>
      <c r="F25" s="156"/>
      <c r="G25" s="157" t="str">
        <f>IF(C25="","",VLOOKUP($J$6,TablaRemuneracion,11,FALSE))</f>
        <v/>
      </c>
      <c r="H25" s="153">
        <f>IF($J$6="",0,IF(C25="",0,VLOOKUP($J$6,TablaRemuneracion,12,FALSE)))</f>
        <v>0</v>
      </c>
      <c r="I25" s="154"/>
      <c r="J25" s="153"/>
      <c r="K25" s="49"/>
      <c r="M25" s="102"/>
    </row>
    <row r="26" s="38" customFormat="1" hidden="1" customHeight="1" spans="2:13">
      <c r="B26" s="93"/>
      <c r="C26" s="94" t="str">
        <f>IF($J$6="","",IF(VLOOKUP($J$6,TablaRemuneracion,13,FALSE)&lt;&gt;"",Remuneración!N6,""))</f>
        <v/>
      </c>
      <c r="D26" s="48"/>
      <c r="E26" s="48"/>
      <c r="F26" s="156"/>
      <c r="G26" s="157" t="str">
        <f>IF(C26="","",VLOOKUP($J$6,TablaRemuneracion,13,FALSE))</f>
        <v/>
      </c>
      <c r="H26" s="153">
        <f>IF($J$6="",0,IF(C26="",0,VLOOKUP($J$6,TablaRemuneracion,14,FALSE)))</f>
        <v>0</v>
      </c>
      <c r="I26" s="154"/>
      <c r="J26" s="153"/>
      <c r="K26" s="49"/>
      <c r="M26" s="102"/>
    </row>
    <row r="27" s="38" customFormat="1" hidden="1" spans="2:13">
      <c r="B27" s="93"/>
      <c r="C27" s="94" t="str">
        <f>IF($J$6="","",IF(VLOOKUP($J$6,TablaRemuneracion,15,FALSE)&lt;&gt;"",Remuneración!P6,""))</f>
        <v/>
      </c>
      <c r="D27" s="48"/>
      <c r="E27" s="48"/>
      <c r="F27" s="103"/>
      <c r="G27" s="100" t="str">
        <f>IF(C27="","",VLOOKUP($J$6,TablaRemuneracion,15,FALSE))</f>
        <v/>
      </c>
      <c r="H27" s="104">
        <f>IF($J$6="",0,IF(C27="",0,VLOOKUP($J$6,TablaRemuneracion,16,FALSE)))</f>
        <v>0</v>
      </c>
      <c r="I27" s="98"/>
      <c r="J27" s="104"/>
      <c r="K27" s="49"/>
      <c r="M27" s="102"/>
    </row>
    <row r="28" s="38" customFormat="1" spans="2:13">
      <c r="B28" s="93"/>
      <c r="C28" s="94" t="str">
        <f>IF($J$6="","",IF(VLOOKUP($J$6,TablaRemuneracion,17,FALSE)&lt;&gt;"",Remuneración!R6,""))</f>
        <v>Presentismo</v>
      </c>
      <c r="D28" s="48"/>
      <c r="E28" s="48"/>
      <c r="F28" s="156"/>
      <c r="G28" s="158">
        <f>IF(C28="","",VLOOKUP($J$6,TablaRemuneracion,17,FALSE))</f>
        <v>0.0833</v>
      </c>
      <c r="H28" s="136">
        <f>IF($J$6="",0,IF(C28="",0,VLOOKUP($J$6,TablaRemuneracion,18,FALSE)))</f>
        <v>170.225216</v>
      </c>
      <c r="I28" s="137"/>
      <c r="J28" s="136"/>
      <c r="K28" s="49"/>
      <c r="M28" s="159"/>
    </row>
    <row r="29" s="38" customFormat="1" hidden="1" spans="2:13">
      <c r="B29" s="93"/>
      <c r="C29" s="94" t="str">
        <f>IF($J$6="","",IF(VLOOKUP($J$6,TablaRemuneracion,19,FALSE)&lt;&gt;"",Remuneración!T6,""))</f>
        <v/>
      </c>
      <c r="D29" s="48"/>
      <c r="E29" s="48"/>
      <c r="F29" s="156"/>
      <c r="G29" s="157" t="str">
        <f>IF(C29="","",VLOOKUP($J$6,TablaRemuneracion,19,FALSE))</f>
        <v/>
      </c>
      <c r="H29" s="153">
        <f>IF($J$6="",0,IF(C29="",0,VLOOKUP($J$6,TablaRemuneracion,20,FALSE)))</f>
        <v>0</v>
      </c>
      <c r="I29" s="154"/>
      <c r="J29" s="153"/>
      <c r="K29" s="49"/>
      <c r="M29" s="102"/>
    </row>
    <row r="30" s="38" customFormat="1" hidden="1" spans="2:13">
      <c r="B30" s="93"/>
      <c r="C30" s="94" t="str">
        <f>IF($J$6="","",IF(VLOOKUP($J$6,TablaRemuneracion,21,FALSE)&lt;&gt;"",Remuneración!V6,""))</f>
        <v/>
      </c>
      <c r="D30" s="48"/>
      <c r="E30" s="48"/>
      <c r="F30" s="103"/>
      <c r="G30" s="100" t="str">
        <f>IF(C30="","",VLOOKUP($J$6,TablaRemuneracion,21,FALSE))</f>
        <v/>
      </c>
      <c r="H30" s="104">
        <f>IF($J$6="",0,IF(C30="",0,VLOOKUP($J$6,TablaRemuneracion,22,FALSE)))</f>
        <v>0</v>
      </c>
      <c r="I30" s="98"/>
      <c r="J30" s="104"/>
      <c r="K30" s="49"/>
      <c r="M30" s="102"/>
    </row>
    <row r="31" s="38" customFormat="1" hidden="1" spans="2:13">
      <c r="B31" s="93"/>
      <c r="C31" s="94" t="str">
        <f>IF($J$6="","",IF(VLOOKUP($J$6,TablaRemuneracion,23,FALSE)&lt;&gt;"",Remuneración!X6,""))</f>
        <v/>
      </c>
      <c r="D31" s="48"/>
      <c r="E31" s="48"/>
      <c r="F31" s="103"/>
      <c r="G31" s="100" t="str">
        <f>IF(C31="","",VLOOKUP($J$6,TablaRemuneracion,23,FALSE))</f>
        <v/>
      </c>
      <c r="H31" s="104">
        <f>IF($J$6="",0,IF(C31="",0,VLOOKUP($J$6,TablaRemuneracion,24,FALSE)))</f>
        <v>0</v>
      </c>
      <c r="I31" s="98"/>
      <c r="J31" s="104"/>
      <c r="K31" s="49"/>
      <c r="M31" s="102"/>
    </row>
    <row r="32" s="38" customFormat="1" hidden="1" spans="2:13">
      <c r="B32" s="93"/>
      <c r="C32" s="94" t="str">
        <f>IF($J$6="","",IF(VLOOKUP($J$6,TablaRemuneracion,25,FALSE)&lt;&gt;"",Remuneración!Z7,""))</f>
        <v/>
      </c>
      <c r="D32" s="48"/>
      <c r="E32" s="48"/>
      <c r="F32" s="156"/>
      <c r="G32" s="158"/>
      <c r="H32" s="136">
        <f>IF(C32="",0,IF($J$6="",0,VLOOKUP($J$6,TablaRemuneracion,25,FALSE)))</f>
        <v>0</v>
      </c>
      <c r="I32" s="137"/>
      <c r="J32" s="136"/>
      <c r="K32" s="49"/>
      <c r="M32" s="102"/>
    </row>
    <row r="33" s="38" customFormat="1" hidden="1" spans="2:13">
      <c r="B33" s="93"/>
      <c r="C33" s="94" t="str">
        <f>IF($J$6="","",IF(VLOOKUP($J$6,TablaRemuneracion,26,FALSE)&lt;&gt;"",Remuneración!AA7,""))</f>
        <v/>
      </c>
      <c r="D33" s="48"/>
      <c r="E33" s="48"/>
      <c r="F33" s="99"/>
      <c r="G33" s="158"/>
      <c r="H33" s="136">
        <f>IF(C33="",0,IF($J$6="",0,VLOOKUP($J$6,TablaRemuneracion,26,FALSE)))</f>
        <v>0</v>
      </c>
      <c r="I33" s="137"/>
      <c r="J33" s="136"/>
      <c r="K33" s="49"/>
      <c r="M33" s="102"/>
    </row>
    <row r="34" s="38" customFormat="1" hidden="1" spans="2:13">
      <c r="B34" s="93"/>
      <c r="C34" s="94" t="str">
        <f>IF($J$6="","",IF(VLOOKUP($J$6,TablaRemuneracion,27,FALSE)&lt;&gt;"",Remuneración!AB7,""))</f>
        <v/>
      </c>
      <c r="D34" s="48"/>
      <c r="E34" s="48"/>
      <c r="F34" s="139"/>
      <c r="G34" s="158"/>
      <c r="H34" s="136">
        <f>IF(C34="",0,IF($J$6="",0,VLOOKUP($J$6,TablaRemuneracion,27,FALSE)))</f>
        <v>0</v>
      </c>
      <c r="I34" s="137"/>
      <c r="J34" s="136"/>
      <c r="K34" s="49"/>
      <c r="M34" s="102"/>
    </row>
    <row r="35" s="38" customFormat="1" hidden="1" spans="2:13">
      <c r="B35" s="93"/>
      <c r="C35" s="94" t="str">
        <f>IF($J$6="","",IF(VLOOKUP($J$6,TablaRemuneracion,28,FALSE)&lt;&gt;"",Remuneración!AC7,""))</f>
        <v/>
      </c>
      <c r="D35" s="48"/>
      <c r="E35" s="48"/>
      <c r="F35" s="99"/>
      <c r="G35" s="158"/>
      <c r="H35" s="136">
        <f>IF(C35="",0,IF($J$6="",0,VLOOKUP($J$6,TablaRemuneracion,28,FALSE)))</f>
        <v>0</v>
      </c>
      <c r="I35" s="137"/>
      <c r="J35" s="136"/>
      <c r="K35" s="49"/>
      <c r="M35" s="102"/>
    </row>
    <row r="36" s="38" customFormat="1" hidden="1" spans="2:13">
      <c r="B36" s="93"/>
      <c r="C36" s="94" t="str">
        <f>IF($J$6="","",IF(VLOOKUP($J$6,TablaRemuneracion,29,FALSE)&lt;&gt;"",Remuneración!AD7,""))</f>
        <v/>
      </c>
      <c r="D36" s="48"/>
      <c r="E36" s="48"/>
      <c r="F36" s="103"/>
      <c r="G36" s="100"/>
      <c r="H36" s="104">
        <f>IF(C36="",0,IF($J$6="",0,VLOOKUP($J$6,TablaRemuneracion,29,FALSE)))</f>
        <v>0</v>
      </c>
      <c r="I36" s="98"/>
      <c r="J36" s="104"/>
      <c r="K36" s="49"/>
      <c r="M36" s="102"/>
    </row>
    <row r="37" s="38" customFormat="1" hidden="1" spans="2:13">
      <c r="B37" s="93"/>
      <c r="C37" s="94" t="str">
        <f>IF($J$6="","",IF(VLOOKUP($J$6,TablaRemuneracion,30,FALSE)&lt;&gt;"",Remuneración!AE7,""))</f>
        <v/>
      </c>
      <c r="D37" s="48"/>
      <c r="E37" s="48"/>
      <c r="F37" s="103"/>
      <c r="G37" s="100"/>
      <c r="H37" s="104">
        <f>IF(C37="",0,IF($J$6="",0,VLOOKUP($J$6,TablaRemuneracion,30,FALSE)))</f>
        <v>0</v>
      </c>
      <c r="I37" s="98"/>
      <c r="J37" s="104"/>
      <c r="K37" s="49"/>
      <c r="M37" s="102"/>
    </row>
    <row r="38" s="38" customFormat="1" hidden="1" spans="2:13">
      <c r="B38" s="93"/>
      <c r="C38" s="94" t="str">
        <f>IF($J$6="","",IF(VLOOKUP($J$6,TablaRemuneracion,32,FALSE)&lt;&gt;"",Remuneración!AF6,""))</f>
        <v/>
      </c>
      <c r="D38" s="48"/>
      <c r="E38" s="48"/>
      <c r="F38" s="160" t="str">
        <f>IF(C38="","",VLOOKUP($J$6,TablaRemuneracion,31,FALSE))</f>
        <v/>
      </c>
      <c r="G38" s="100"/>
      <c r="H38" s="104">
        <f>IF(C38="",0,IF($J$6="",0,VLOOKUP($J$6,TablaRemuneracion,33,FALSE)))</f>
        <v>0</v>
      </c>
      <c r="I38" s="98"/>
      <c r="J38" s="104"/>
      <c r="K38" s="49"/>
      <c r="M38" s="102"/>
    </row>
    <row r="39" s="38" customFormat="1" hidden="1" spans="2:13">
      <c r="B39" s="93"/>
      <c r="C39" s="94" t="str">
        <f>IF($J$6="","",IF(VLOOKUP($J$6,TablaRemuneracion,35,FALSE)&lt;&gt;"",Remuneración!AI6,""))</f>
        <v/>
      </c>
      <c r="D39" s="48"/>
      <c r="E39" s="48"/>
      <c r="F39" s="160" t="str">
        <f>IF(C39="","",VLOOKUP($J$6,TablaRemuneracion,34,FALSE))</f>
        <v/>
      </c>
      <c r="G39" s="100"/>
      <c r="H39" s="104">
        <f>IF(C39="",0,IF($J$6="",0,VLOOKUP($J$6,TablaRemuneracion,36,FALSE)))</f>
        <v>0</v>
      </c>
      <c r="I39" s="98"/>
      <c r="J39" s="104"/>
      <c r="K39" s="49"/>
      <c r="M39" s="102"/>
    </row>
    <row r="40" s="38" customFormat="1" spans="2:13">
      <c r="B40" s="93"/>
      <c r="C40" s="94" t="str">
        <f>IF($J$6="","",IF(VLOOKUP($J$6,TablaNoRemunerativo,3,FALSE)&lt;&gt;"",'Ret. y no Rem.'!D5,""))</f>
        <v>Jubilación</v>
      </c>
      <c r="D40" s="48"/>
      <c r="E40" s="48"/>
      <c r="F40" s="156"/>
      <c r="G40" s="158">
        <f>IF(C40="","",VLOOKUP($J$6,TablaNoRemunerativo,3,FALSE))</f>
        <v>0.11</v>
      </c>
      <c r="H40" s="136"/>
      <c r="I40" s="137">
        <f>IF(C40="",0,IF($J$6="",0,VLOOKUP($J$6,TablaNoRemunerativo,4,FALSE)))</f>
        <v>243.51197376</v>
      </c>
      <c r="J40" s="136"/>
      <c r="K40" s="49"/>
      <c r="M40" s="159"/>
    </row>
    <row r="41" s="38" customFormat="1" spans="2:13">
      <c r="B41" s="93"/>
      <c r="C41" s="94" t="str">
        <f>IF($J$6="","",IF(VLOOKUP($J$6,TablaNoRemunerativo,5,FALSE)&lt;&gt;"",'Ret. y no Rem.'!F5,""))</f>
        <v>Ley 19032</v>
      </c>
      <c r="D41" s="48"/>
      <c r="E41" s="48"/>
      <c r="F41" s="156"/>
      <c r="G41" s="158">
        <f>IF(C41="","",VLOOKUP($J$6,TablaNoRemunerativo,5,FALSE))</f>
        <v>0.03</v>
      </c>
      <c r="H41" s="136"/>
      <c r="I41" s="137">
        <f>IF(C41="",0,IF($J$6="",0,VLOOKUP($J$6,TablaNoRemunerativo,6,FALSE)))</f>
        <v>66.41235648</v>
      </c>
      <c r="J41" s="136"/>
      <c r="K41" s="49"/>
      <c r="M41" s="159"/>
    </row>
    <row r="42" s="38" customFormat="1" spans="2:13">
      <c r="B42" s="93"/>
      <c r="C42" s="94" t="str">
        <f>IF($J$6="","",IF(VLOOKUP($J$6,TablaNoRemunerativo,7,FALSE)&lt;&gt;"",'Ret. y no Rem.'!H5,""))</f>
        <v>Obra Social</v>
      </c>
      <c r="D42" s="48"/>
      <c r="E42" s="48"/>
      <c r="F42" s="156"/>
      <c r="G42" s="158">
        <f>IF(C42="","",VLOOKUP($J$6,TablaNoRemunerativo,7,FALSE))</f>
        <v>0.03</v>
      </c>
      <c r="H42" s="136"/>
      <c r="I42" s="137">
        <f>IF(C42="",0,IF($J$6="",0,VLOOKUP($J$6,TablaNoRemunerativo,8,FALSE)))</f>
        <v>66.41235648</v>
      </c>
      <c r="J42" s="136"/>
      <c r="K42" s="49"/>
      <c r="M42" s="159"/>
    </row>
    <row r="43" s="38" customFormat="1" hidden="1" spans="2:13">
      <c r="B43" s="93"/>
      <c r="C43" s="94" t="str">
        <f>IF($J$6="","",IF(VLOOKUP($J$6,TablaNoRemunerativo,9,FALSE)&lt;&gt;"",'Ret. y no Rem.'!J5,""))</f>
        <v/>
      </c>
      <c r="D43" s="48"/>
      <c r="E43" s="48"/>
      <c r="F43" s="103"/>
      <c r="G43" s="100" t="str">
        <f>IF(C43="","",VLOOKUP($J$6,TablaNoRemunerativo,9,FALSE))</f>
        <v/>
      </c>
      <c r="H43" s="104"/>
      <c r="I43" s="98">
        <f>IF(C43="",0,IF($J$6="",0,VLOOKUP($J$6,TablaNoRemunerativo,10,FALSE)))</f>
        <v>0</v>
      </c>
      <c r="J43" s="104"/>
      <c r="K43" s="49"/>
      <c r="M43" s="102"/>
    </row>
    <row r="44" s="38" customFormat="1" hidden="1" spans="2:13">
      <c r="B44" s="93"/>
      <c r="C44" s="94" t="str">
        <f>IF($J$6="","",IF(VLOOKUP($J$6,TablaNoRemunerativo,11,FALSE)&lt;&gt;"",'Ret. y no Rem.'!L5,""))</f>
        <v/>
      </c>
      <c r="D44" s="48"/>
      <c r="E44" s="48"/>
      <c r="F44" s="156"/>
      <c r="G44" s="158" t="str">
        <f>IF(C44="","",VLOOKUP($J$6,TablaNoRemunerativo,11,FALSE))</f>
        <v/>
      </c>
      <c r="H44" s="136"/>
      <c r="I44" s="137">
        <f>IF(C44="",0,IF($J$6="",0,VLOOKUP($J$6,TablaNoRemunerativo,12,FALSE)))</f>
        <v>0</v>
      </c>
      <c r="J44" s="136"/>
      <c r="K44" s="49"/>
      <c r="M44" s="102"/>
    </row>
    <row r="45" s="38" customFormat="1" hidden="1" spans="2:13">
      <c r="B45" s="93"/>
      <c r="C45" s="94" t="str">
        <f>IF($J$6="","",IF(VLOOKUP($J$6,TablaNoRemunerativo,13,FALSE)&lt;&gt;"",'Ret. y no Rem.'!N5,""))</f>
        <v/>
      </c>
      <c r="D45" s="48"/>
      <c r="E45" s="48"/>
      <c r="F45" s="99"/>
      <c r="G45" s="158" t="str">
        <f>IF(C45="","",VLOOKUP($J$6,TablaNoRemunerativo,13,FALSE))</f>
        <v/>
      </c>
      <c r="H45" s="136"/>
      <c r="I45" s="137">
        <f>IF(C45="",0,IF($J$6="",0,VLOOKUP($J$6,TablaNoRemunerativo,14,FALSE)))</f>
        <v>0</v>
      </c>
      <c r="J45" s="136"/>
      <c r="K45" s="49"/>
      <c r="M45" s="159"/>
    </row>
    <row r="46" s="38" customFormat="1" hidden="1" spans="2:13">
      <c r="B46" s="93"/>
      <c r="C46" s="94" t="str">
        <f>IF($J$6="","",IF(VLOOKUP($J$6,TablaNoRemunerativo,15,FALSE)&lt;&gt;"",'Ret. y no Rem.'!P5,""))</f>
        <v/>
      </c>
      <c r="D46" s="48"/>
      <c r="E46" s="48"/>
      <c r="F46" s="99"/>
      <c r="G46" s="158" t="str">
        <f>IF(C46="","",VLOOKUP($J$6,TablaNoRemunerativo,15,FALSE))</f>
        <v/>
      </c>
      <c r="H46" s="136"/>
      <c r="I46" s="137">
        <f>IF(C46="",0,IF($J$6="",0,VLOOKUP($J$6,TablaNoRemunerativo,16,FALSE)))</f>
        <v>0</v>
      </c>
      <c r="J46" s="136"/>
      <c r="K46" s="49"/>
      <c r="M46" s="102"/>
    </row>
    <row r="47" s="38" customFormat="1" hidden="1" spans="2:13">
      <c r="B47" s="93"/>
      <c r="C47" s="94" t="str">
        <f>IF($J$6="","",IF(VLOOKUP($J$6,TablaNoRemunerativo,17,FALSE)&lt;&gt;"",'Ret. y no Rem.'!R5,""))</f>
        <v/>
      </c>
      <c r="D47" s="48"/>
      <c r="E47" s="48"/>
      <c r="F47" s="156"/>
      <c r="G47" s="158" t="str">
        <f>IF(C47="","",VLOOKUP($J$6,TablaNoRemunerativo,17,FALSE))</f>
        <v/>
      </c>
      <c r="H47" s="136"/>
      <c r="I47" s="137">
        <f>IF(C47="",0,IF($J$6="",0,VLOOKUP($J$6,TablaNoRemunerativo,18,FALSE)))</f>
        <v>0</v>
      </c>
      <c r="J47" s="136"/>
      <c r="K47" s="49"/>
      <c r="M47" s="159"/>
    </row>
    <row r="48" s="38" customFormat="1" hidden="1" spans="2:13">
      <c r="B48" s="93"/>
      <c r="C48" s="94" t="str">
        <f>IF($J$6="","",IF(VLOOKUP($J$6,TablaNoRemunerativo,19,FALSE)&lt;&gt;"",'Ret. y no Rem.'!T5,""))</f>
        <v/>
      </c>
      <c r="D48" s="48"/>
      <c r="E48" s="48"/>
      <c r="F48" s="99"/>
      <c r="G48" s="158" t="str">
        <f>IF(C48="","",VLOOKUP($J$6,TablaNoRemunerativo,19,FALSE))</f>
        <v/>
      </c>
      <c r="H48" s="136"/>
      <c r="I48" s="137">
        <f>IF(C48="",0,IF($J$6="",0,VLOOKUP($J$6,TablaNoRemunerativo,20,FALSE)))</f>
        <v>0</v>
      </c>
      <c r="J48" s="136"/>
      <c r="K48" s="49"/>
      <c r="M48" s="159"/>
    </row>
    <row r="49" s="38" customFormat="1" hidden="1" spans="2:13">
      <c r="B49" s="93"/>
      <c r="C49" s="94" t="str">
        <f>IF($J$6="","",IF(VLOOKUP($J$6,TablaNoRemunerativo,21,FALSE)&lt;&gt;"",'Ret. y no Rem.'!V5,""))</f>
        <v/>
      </c>
      <c r="D49" s="48"/>
      <c r="E49" s="48"/>
      <c r="F49" s="103"/>
      <c r="G49" s="100" t="str">
        <f>IF(C49="","",VLOOKUP($J$6,TablaNoRemunerativo,21,FALSE))</f>
        <v/>
      </c>
      <c r="H49" s="104"/>
      <c r="I49" s="98">
        <f>IF(C49="",0,IF($J$6="",0,VLOOKUP($J$6,TablaNoRemunerativo,22,FALSE)))</f>
        <v>0</v>
      </c>
      <c r="J49" s="104"/>
      <c r="K49" s="49"/>
      <c r="M49" s="102"/>
    </row>
    <row r="50" s="38" customFormat="1" hidden="1" spans="2:13">
      <c r="B50" s="93"/>
      <c r="C50" s="94" t="str">
        <f>IF($J$6="","",IF(VLOOKUP($J$6,TablaNoRemunerativo,23,FALSE)&lt;&gt;"",'Ret. y no Rem.'!X5,""))</f>
        <v/>
      </c>
      <c r="D50" s="48"/>
      <c r="E50" s="48"/>
      <c r="F50" s="103"/>
      <c r="G50" s="100" t="str">
        <f>IF(C50="","",VLOOKUP($J$6,TablaNoRemunerativo,23,FALSE))</f>
        <v/>
      </c>
      <c r="H50" s="104"/>
      <c r="I50" s="98">
        <f>IF(C50="",0,IF($J$6="",0,VLOOKUP($J$6,TablaNoRemunerativo,24,FALSE)))</f>
        <v>0</v>
      </c>
      <c r="J50" s="104"/>
      <c r="K50" s="49"/>
      <c r="M50" s="102"/>
    </row>
    <row r="51" s="38" customFormat="1" hidden="1" spans="2:13">
      <c r="B51" s="161"/>
      <c r="C51" s="94" t="str">
        <f>IF($J$6="","",IF(VLOOKUP($J$6,TablaNoRemunerativo,25,FALSE)&lt;&gt;"",'Ret. y no Rem.'!Z6,""))</f>
        <v/>
      </c>
      <c r="D51" s="48"/>
      <c r="E51" s="48"/>
      <c r="F51" s="99"/>
      <c r="G51" s="158"/>
      <c r="H51" s="136"/>
      <c r="I51" s="137">
        <f>IF(C51="",0,IF($J$6="",0,VLOOKUP($J$6,TablaNoRemunerativo,25,FALSE)))</f>
        <v>0</v>
      </c>
      <c r="J51" s="136"/>
      <c r="K51" s="49"/>
      <c r="M51" s="102"/>
    </row>
    <row r="52" s="38" customFormat="1" hidden="1" spans="2:13">
      <c r="B52" s="93"/>
      <c r="C52" s="94" t="str">
        <f>IF($J$6="","",IF(VLOOKUP($J$6,TablaNoRemunerativo,26,FALSE)&lt;&gt;"",'Ret. y no Rem.'!AA6,""))</f>
        <v/>
      </c>
      <c r="D52" s="48"/>
      <c r="E52" s="48"/>
      <c r="F52" s="156"/>
      <c r="G52" s="157"/>
      <c r="H52" s="153"/>
      <c r="I52" s="154">
        <f>IF(C52="",0,IF($J$6="",0,VLOOKUP($J$6,TablaNoRemunerativo,26,FALSE)))</f>
        <v>0</v>
      </c>
      <c r="J52" s="153"/>
      <c r="K52" s="49"/>
      <c r="M52" s="102"/>
    </row>
    <row r="53" s="38" customFormat="1" hidden="1" spans="2:13">
      <c r="B53" s="93"/>
      <c r="C53" s="94" t="str">
        <f>IF($J$6="","",IF(VLOOKUP($J$6,TablaNoRemunerativo,27,FALSE)&lt;&gt;"",'Ret. y no Rem.'!AB6,""))</f>
        <v/>
      </c>
      <c r="D53" s="48"/>
      <c r="E53" s="48"/>
      <c r="F53" s="139"/>
      <c r="G53" s="158"/>
      <c r="H53" s="136"/>
      <c r="I53" s="137">
        <f>IF(C53="",0,IF($J$6="",0,VLOOKUP($J$6,TablaNoRemunerativo,27,FALSE)))</f>
        <v>0</v>
      </c>
      <c r="J53" s="136"/>
      <c r="K53" s="49"/>
      <c r="M53" s="102"/>
    </row>
    <row r="54" s="38" customFormat="1" hidden="1" spans="2:13">
      <c r="B54" s="93"/>
      <c r="C54" s="94" t="str">
        <f>IF($J$6="","",IF(VLOOKUP($J$6,TablaNoRemunerativo,29,FALSE)&lt;&gt;"",'Ret. y no Rem.'!AD6,""))</f>
        <v/>
      </c>
      <c r="D54" s="48"/>
      <c r="E54" s="48"/>
      <c r="F54" s="156"/>
      <c r="G54" s="158"/>
      <c r="H54" s="136"/>
      <c r="I54" s="137"/>
      <c r="J54" s="136">
        <f>IF(C54="",0,IF($J$6="",0,VLOOKUP($J$6,TablaNoRemunerativo,29,FALSE)))</f>
        <v>0</v>
      </c>
      <c r="K54" s="49"/>
      <c r="M54" s="159"/>
    </row>
    <row r="55" s="38" customFormat="1" hidden="1" spans="2:13">
      <c r="B55" s="93"/>
      <c r="C55" s="94" t="str">
        <f>IF($J$6="","",IF(VLOOKUP($J$6,TablaNoRemunerativo,30,FALSE)&lt;&gt;"",'Ret. y no Rem.'!AE6,""))</f>
        <v/>
      </c>
      <c r="D55" s="48"/>
      <c r="E55" s="48"/>
      <c r="F55" s="139"/>
      <c r="G55" s="158"/>
      <c r="H55" s="136"/>
      <c r="I55" s="137"/>
      <c r="J55" s="136">
        <f>IF(C55="",0,IF($J$6="",0,VLOOKUP($J$6,TablaNoRemunerativo,30,FALSE)))</f>
        <v>0</v>
      </c>
      <c r="K55" s="49"/>
      <c r="M55" s="159"/>
    </row>
    <row r="56" s="38" customFormat="1" hidden="1" customHeight="1" spans="2:13">
      <c r="B56" s="93"/>
      <c r="C56" s="94" t="str">
        <f>IF($J$6="","",IF(VLOOKUP($J$6,TablaNoRemunerativo,31,FALSE)&lt;&gt;"",'Ret. y no Rem.'!AF6,""))</f>
        <v/>
      </c>
      <c r="D56" s="48"/>
      <c r="E56" s="48"/>
      <c r="F56" s="139"/>
      <c r="G56" s="158"/>
      <c r="H56" s="136"/>
      <c r="I56" s="137"/>
      <c r="J56" s="136">
        <f>IF(C56="",0,IF($J$6="",0,VLOOKUP($J$6,TablaNoRemunerativo,31,FALSE)))</f>
        <v>0</v>
      </c>
      <c r="K56" s="49"/>
      <c r="M56" s="159"/>
    </row>
    <row r="57" s="38" customFormat="1" hidden="1" customHeight="1" spans="2:13">
      <c r="B57" s="93"/>
      <c r="C57" s="94" t="str">
        <f>IF($J$6="","",IF(VLOOKUP($J$6,TablaNoRemunerativo,32,FALSE)&lt;&gt;"",'Ret. y no Rem.'!AG6,""))</f>
        <v/>
      </c>
      <c r="D57" s="48"/>
      <c r="E57" s="48"/>
      <c r="F57" s="139"/>
      <c r="G57" s="158"/>
      <c r="H57" s="136"/>
      <c r="I57" s="137"/>
      <c r="J57" s="136">
        <f>IF(C57="",0,IF($J$6="",0,VLOOKUP($J$6,TablaNoRemunerativo,32,FALSE)))</f>
        <v>0</v>
      </c>
      <c r="K57" s="49"/>
      <c r="M57" s="102"/>
    </row>
    <row r="58" s="38" customFormat="1" hidden="1" customHeight="1" spans="2:13">
      <c r="B58" s="93"/>
      <c r="C58" s="94" t="str">
        <f>IF($J$6="","",IF(VLOOKUP($J$6,TablaNoRemunerativo,33,FALSE)&lt;&gt;"",'Ret. y no Rem.'!AH6,""))</f>
        <v/>
      </c>
      <c r="D58" s="48"/>
      <c r="E58" s="48"/>
      <c r="F58" s="139"/>
      <c r="G58" s="158"/>
      <c r="H58" s="136"/>
      <c r="I58" s="137"/>
      <c r="J58" s="136" t="str">
        <f>IF(C58="","",IF($J$6="",0,VLOOKUP($J$6,TablaNoRemunerativo,33,FALSE)))</f>
        <v/>
      </c>
      <c r="K58" s="49"/>
      <c r="M58" s="102"/>
    </row>
    <row r="59" s="38" customFormat="1" hidden="1" customHeight="1" spans="2:13">
      <c r="B59" s="93"/>
      <c r="C59" s="94" t="str">
        <f>IF($J$6="","",IF(VLOOKUP($J$6,TablaNoRemunerativo,34,FALSE)&lt;&gt;"",'Ret. y no Rem.'!AI6,""))</f>
        <v/>
      </c>
      <c r="D59" s="48"/>
      <c r="E59" s="48"/>
      <c r="F59" s="139"/>
      <c r="G59" s="158"/>
      <c r="H59" s="136"/>
      <c r="I59" s="137"/>
      <c r="J59" s="136">
        <f>IF(C59="",0,IF($J$6="",0,VLOOKUP($J$6,TablaNoRemunerativo,34,FALSE)))</f>
        <v>0</v>
      </c>
      <c r="K59" s="49"/>
      <c r="M59" s="102"/>
    </row>
    <row r="60" s="38" customFormat="1" hidden="1" customHeight="1" spans="2:13">
      <c r="B60" s="93"/>
      <c r="C60" s="94" t="str">
        <f>IF($J$6="","",IF(VLOOKUP($J$6,TablaNoRemunerativo,35,FALSE)&lt;&gt;"",'Ret. y no Rem.'!AJ6,""))</f>
        <v/>
      </c>
      <c r="D60" s="48"/>
      <c r="E60" s="48"/>
      <c r="F60" s="139"/>
      <c r="G60" s="158"/>
      <c r="H60" s="136"/>
      <c r="I60" s="137"/>
      <c r="J60" s="136">
        <f>IF(C60="",0,IF($J$6="",0,VLOOKUP($J$6,TablaNoRemunerativo,35,FALSE)))</f>
        <v>0</v>
      </c>
      <c r="K60" s="49"/>
      <c r="M60" s="159"/>
    </row>
    <row r="61" s="38" customFormat="1" hidden="1" customHeight="1" spans="2:13">
      <c r="B61" s="93"/>
      <c r="C61" s="94" t="str">
        <f>IF($J$6="","",IF(VLOOKUP($J$6,TablaNoRemunerativo,36,FALSE)&lt;&gt;"",'Ret. y no Rem.'!AK6,""))</f>
        <v/>
      </c>
      <c r="D61" s="48"/>
      <c r="E61" s="48"/>
      <c r="F61" s="103"/>
      <c r="G61" s="100"/>
      <c r="H61" s="104"/>
      <c r="I61" s="98"/>
      <c r="J61" s="104">
        <f>IF(C61="",0,IF($J$6="",0,VLOOKUP($J$6,TablaNoRemunerativo,36,FALSE)))</f>
        <v>0</v>
      </c>
      <c r="K61" s="49"/>
      <c r="M61" s="102"/>
    </row>
    <row r="62" s="38" customFormat="1" customHeight="1" spans="2:13">
      <c r="B62" s="93"/>
      <c r="C62" s="94" t="str">
        <f>IF($J$6="","",IF(VLOOKUP($J$6,TablaNoRemunerativo,37,FALSE)&lt;&gt;"",'Ret. y no Rem.'!AL6,""))</f>
        <v>Redondeo</v>
      </c>
      <c r="D62" s="48"/>
      <c r="E62" s="48"/>
      <c r="F62" s="156"/>
      <c r="G62" s="157"/>
      <c r="H62" s="153"/>
      <c r="I62" s="154"/>
      <c r="J62" s="153">
        <f>IF(C62="",0,IF($J$6="",0,VLOOKUP($J$6,TablaNoRemunerativo,37,FALSE)))</f>
        <v>0.591470720000189</v>
      </c>
      <c r="K62" s="49"/>
      <c r="M62" s="159"/>
    </row>
    <row r="63" s="38" customFormat="1" customHeight="1" spans="2:13">
      <c r="B63" s="93"/>
      <c r="C63" s="94">
        <f>IF(C20="",0,"")</f>
        <v>0</v>
      </c>
      <c r="D63" s="48"/>
      <c r="E63" s="48"/>
      <c r="F63" s="156"/>
      <c r="G63" s="157"/>
      <c r="H63" s="153"/>
      <c r="I63" s="154"/>
      <c r="J63" s="153"/>
      <c r="K63" s="49"/>
      <c r="M63" s="159"/>
    </row>
    <row r="64" s="38" customFormat="1" customHeight="1" spans="2:13">
      <c r="B64" s="93"/>
      <c r="C64" s="94">
        <f>IF(C21="",0,"")</f>
        <v>0</v>
      </c>
      <c r="D64" s="48"/>
      <c r="E64" s="48"/>
      <c r="F64" s="156"/>
      <c r="G64" s="157"/>
      <c r="H64" s="153"/>
      <c r="I64" s="154"/>
      <c r="J64" s="153"/>
      <c r="K64" s="49"/>
      <c r="M64" s="159"/>
    </row>
    <row r="65" s="38" customFormat="1" customHeight="1" spans="2:13">
      <c r="B65" s="93"/>
      <c r="C65" s="94">
        <f>IF(C22="",0,"")</f>
        <v>0</v>
      </c>
      <c r="D65" s="48"/>
      <c r="E65" s="48"/>
      <c r="F65" s="99"/>
      <c r="G65" s="100"/>
      <c r="H65" s="97"/>
      <c r="I65" s="98"/>
      <c r="J65" s="97"/>
      <c r="K65" s="49"/>
      <c r="M65" s="159"/>
    </row>
    <row r="66" s="38" customFormat="1" customHeight="1" spans="2:13">
      <c r="B66" s="93"/>
      <c r="C66" s="94">
        <f>IF(C23="",0,"")</f>
        <v>0</v>
      </c>
      <c r="D66" s="48"/>
      <c r="E66" s="48"/>
      <c r="F66" s="156"/>
      <c r="G66" s="157"/>
      <c r="H66" s="153"/>
      <c r="I66" s="154"/>
      <c r="J66" s="153"/>
      <c r="K66" s="49"/>
      <c r="M66" s="159"/>
    </row>
    <row r="67" s="38" customFormat="1" customHeight="1" spans="2:13">
      <c r="B67" s="93"/>
      <c r="C67" s="94">
        <f t="shared" ref="C67:C90" si="0">IF(C25="",0,"")</f>
        <v>0</v>
      </c>
      <c r="D67" s="48"/>
      <c r="E67" s="48"/>
      <c r="F67" s="99"/>
      <c r="G67" s="100"/>
      <c r="H67" s="97"/>
      <c r="I67" s="98"/>
      <c r="J67" s="97"/>
      <c r="K67" s="49"/>
      <c r="M67" s="159"/>
    </row>
    <row r="68" s="38" customFormat="1" customHeight="1" spans="2:13">
      <c r="B68" s="93"/>
      <c r="C68" s="94">
        <f t="shared" si="0"/>
        <v>0</v>
      </c>
      <c r="D68" s="48"/>
      <c r="E68" s="48"/>
      <c r="F68" s="99"/>
      <c r="G68" s="100"/>
      <c r="H68" s="97"/>
      <c r="I68" s="98"/>
      <c r="J68" s="97"/>
      <c r="K68" s="49"/>
      <c r="M68" s="159"/>
    </row>
    <row r="69" s="38" customFormat="1" customHeight="1" spans="2:13">
      <c r="B69" s="93"/>
      <c r="C69" s="94">
        <f t="shared" si="0"/>
        <v>0</v>
      </c>
      <c r="D69" s="48"/>
      <c r="E69" s="48"/>
      <c r="F69" s="156"/>
      <c r="G69" s="157"/>
      <c r="H69" s="153"/>
      <c r="I69" s="154"/>
      <c r="J69" s="153"/>
      <c r="K69" s="49"/>
      <c r="M69" s="159"/>
    </row>
    <row r="70" s="38" customFormat="1" hidden="1" customHeight="1" spans="2:13">
      <c r="B70" s="93"/>
      <c r="C70" s="94" t="str">
        <f t="shared" si="0"/>
        <v/>
      </c>
      <c r="D70" s="48"/>
      <c r="E70" s="48"/>
      <c r="F70" s="99"/>
      <c r="G70" s="100"/>
      <c r="H70" s="97"/>
      <c r="I70" s="98"/>
      <c r="J70" s="97"/>
      <c r="K70" s="49"/>
      <c r="M70" s="102"/>
    </row>
    <row r="71" s="38" customFormat="1" customHeight="1" spans="2:13">
      <c r="B71" s="93"/>
      <c r="C71" s="94">
        <f t="shared" si="0"/>
        <v>0</v>
      </c>
      <c r="D71" s="48"/>
      <c r="E71" s="48"/>
      <c r="F71" s="99"/>
      <c r="G71" s="100"/>
      <c r="H71" s="97"/>
      <c r="I71" s="98"/>
      <c r="J71" s="97"/>
      <c r="K71" s="49"/>
      <c r="M71" s="159"/>
    </row>
    <row r="72" s="38" customFormat="1" customHeight="1" spans="2:13">
      <c r="B72" s="93"/>
      <c r="C72" s="94">
        <f t="shared" si="0"/>
        <v>0</v>
      </c>
      <c r="D72" s="48"/>
      <c r="E72" s="48"/>
      <c r="F72" s="99"/>
      <c r="G72" s="100"/>
      <c r="H72" s="97"/>
      <c r="I72" s="98"/>
      <c r="J72" s="97"/>
      <c r="K72" s="49"/>
      <c r="M72" s="159"/>
    </row>
    <row r="73" s="38" customFormat="1" customHeight="1" spans="2:13">
      <c r="B73" s="93"/>
      <c r="C73" s="94">
        <f t="shared" si="0"/>
        <v>0</v>
      </c>
      <c r="D73" s="48"/>
      <c r="E73" s="48"/>
      <c r="F73" s="99"/>
      <c r="G73" s="100"/>
      <c r="H73" s="97"/>
      <c r="I73" s="98"/>
      <c r="J73" s="97"/>
      <c r="K73" s="49"/>
      <c r="M73" s="159"/>
    </row>
    <row r="74" s="38" customFormat="1" customHeight="1" spans="2:13">
      <c r="B74" s="93"/>
      <c r="C74" s="94">
        <f t="shared" si="0"/>
        <v>0</v>
      </c>
      <c r="D74" s="48"/>
      <c r="E74" s="48"/>
      <c r="F74" s="99"/>
      <c r="G74" s="100"/>
      <c r="H74" s="97"/>
      <c r="I74" s="98"/>
      <c r="J74" s="97"/>
      <c r="K74" s="49"/>
      <c r="M74" s="159"/>
    </row>
    <row r="75" s="38" customFormat="1" customHeight="1" spans="2:13">
      <c r="B75" s="93"/>
      <c r="C75" s="94">
        <f t="shared" si="0"/>
        <v>0</v>
      </c>
      <c r="D75" s="48"/>
      <c r="E75" s="48"/>
      <c r="F75" s="99"/>
      <c r="G75" s="100"/>
      <c r="H75" s="97"/>
      <c r="I75" s="98"/>
      <c r="J75" s="97"/>
      <c r="K75" s="49"/>
      <c r="M75" s="159"/>
    </row>
    <row r="76" s="38" customFormat="1" customHeight="1" spans="2:13">
      <c r="B76" s="93"/>
      <c r="C76" s="94">
        <f t="shared" si="0"/>
        <v>0</v>
      </c>
      <c r="D76" s="48"/>
      <c r="E76" s="48"/>
      <c r="F76" s="99"/>
      <c r="G76" s="100"/>
      <c r="H76" s="97"/>
      <c r="I76" s="98"/>
      <c r="J76" s="97"/>
      <c r="K76" s="49"/>
      <c r="M76" s="159"/>
    </row>
    <row r="77" s="38" customFormat="1" customHeight="1" spans="2:13">
      <c r="B77" s="93"/>
      <c r="C77" s="94">
        <f t="shared" si="0"/>
        <v>0</v>
      </c>
      <c r="D77" s="48"/>
      <c r="E77" s="48"/>
      <c r="F77" s="99"/>
      <c r="G77" s="100"/>
      <c r="H77" s="97"/>
      <c r="I77" s="98"/>
      <c r="J77" s="97"/>
      <c r="K77" s="49"/>
      <c r="M77" s="159"/>
    </row>
    <row r="78" s="38" customFormat="1" customHeight="1" spans="2:13">
      <c r="B78" s="93"/>
      <c r="C78" s="94">
        <f t="shared" si="0"/>
        <v>0</v>
      </c>
      <c r="D78" s="48"/>
      <c r="E78" s="48"/>
      <c r="F78" s="99"/>
      <c r="G78" s="100"/>
      <c r="H78" s="97"/>
      <c r="I78" s="98"/>
      <c r="J78" s="97"/>
      <c r="K78" s="49"/>
      <c r="M78" s="159"/>
    </row>
    <row r="79" s="38" customFormat="1" customHeight="1" spans="2:13">
      <c r="B79" s="93"/>
      <c r="C79" s="94">
        <f t="shared" si="0"/>
        <v>0</v>
      </c>
      <c r="D79" s="48"/>
      <c r="E79" s="48"/>
      <c r="F79" s="99"/>
      <c r="G79" s="100"/>
      <c r="H79" s="97"/>
      <c r="I79" s="98"/>
      <c r="J79" s="97"/>
      <c r="K79" s="49"/>
      <c r="M79" s="159"/>
    </row>
    <row r="80" s="38" customFormat="1" customHeight="1" spans="2:13">
      <c r="B80" s="93"/>
      <c r="C80" s="94">
        <f t="shared" si="0"/>
        <v>0</v>
      </c>
      <c r="D80" s="48"/>
      <c r="E80" s="48"/>
      <c r="F80" s="99"/>
      <c r="G80" s="100"/>
      <c r="H80" s="97"/>
      <c r="I80" s="98"/>
      <c r="J80" s="97"/>
      <c r="K80" s="49"/>
      <c r="M80" s="159"/>
    </row>
    <row r="81" s="38" customFormat="1" customHeight="1" spans="2:13">
      <c r="B81" s="93"/>
      <c r="C81" s="94">
        <f t="shared" si="0"/>
        <v>0</v>
      </c>
      <c r="D81" s="48"/>
      <c r="E81" s="48"/>
      <c r="F81" s="99"/>
      <c r="G81" s="100"/>
      <c r="H81" s="97"/>
      <c r="I81" s="98"/>
      <c r="J81" s="97"/>
      <c r="K81" s="49"/>
      <c r="M81" s="159"/>
    </row>
    <row r="82" s="38" customFormat="1" hidden="1" customHeight="1" spans="2:13">
      <c r="B82" s="93"/>
      <c r="C82" s="94" t="str">
        <f t="shared" si="0"/>
        <v/>
      </c>
      <c r="D82" s="48"/>
      <c r="E82" s="48"/>
      <c r="F82" s="103"/>
      <c r="G82" s="100"/>
      <c r="H82" s="104"/>
      <c r="I82" s="98"/>
      <c r="J82" s="104"/>
      <c r="K82" s="49"/>
      <c r="M82" s="102"/>
    </row>
    <row r="83" s="38" customFormat="1" hidden="1" customHeight="1" spans="2:13">
      <c r="B83" s="93"/>
      <c r="C83" s="94" t="str">
        <f t="shared" si="0"/>
        <v/>
      </c>
      <c r="D83" s="48"/>
      <c r="E83" s="48"/>
      <c r="F83" s="103"/>
      <c r="G83" s="100"/>
      <c r="H83" s="104"/>
      <c r="I83" s="98"/>
      <c r="J83" s="104"/>
      <c r="K83" s="49"/>
      <c r="M83" s="102"/>
    </row>
    <row r="84" s="38" customFormat="1" hidden="1" customHeight="1" spans="2:13">
      <c r="B84" s="93"/>
      <c r="C84" s="94" t="str">
        <f t="shared" si="0"/>
        <v/>
      </c>
      <c r="D84" s="48"/>
      <c r="E84" s="48"/>
      <c r="F84" s="103"/>
      <c r="G84" s="100"/>
      <c r="H84" s="104"/>
      <c r="I84" s="98"/>
      <c r="J84" s="104"/>
      <c r="K84" s="49"/>
      <c r="M84" s="102"/>
    </row>
    <row r="85" s="38" customFormat="1" customHeight="1" spans="2:13">
      <c r="B85" s="93"/>
      <c r="C85" s="94">
        <f t="shared" si="0"/>
        <v>0</v>
      </c>
      <c r="D85" s="48"/>
      <c r="E85" s="48"/>
      <c r="F85" s="99"/>
      <c r="G85" s="100"/>
      <c r="H85" s="97"/>
      <c r="I85" s="98"/>
      <c r="J85" s="97"/>
      <c r="K85" s="49"/>
      <c r="M85" s="159"/>
    </row>
    <row r="86" s="38" customFormat="1" customHeight="1" spans="2:13">
      <c r="B86" s="93"/>
      <c r="C86" s="94">
        <f t="shared" si="0"/>
        <v>0</v>
      </c>
      <c r="D86" s="48"/>
      <c r="E86" s="48"/>
      <c r="F86" s="99"/>
      <c r="G86" s="100"/>
      <c r="H86" s="97"/>
      <c r="I86" s="98"/>
      <c r="J86" s="97"/>
      <c r="K86" s="49"/>
      <c r="M86" s="159"/>
    </row>
    <row r="87" s="38" customFormat="1" customHeight="1" spans="2:13">
      <c r="B87" s="93"/>
      <c r="C87" s="94">
        <f t="shared" si="0"/>
        <v>0</v>
      </c>
      <c r="D87" s="48"/>
      <c r="E87" s="48"/>
      <c r="F87" s="99"/>
      <c r="G87" s="100"/>
      <c r="H87" s="97"/>
      <c r="I87" s="98"/>
      <c r="J87" s="97"/>
      <c r="K87" s="49"/>
      <c r="M87" s="102"/>
    </row>
    <row r="88" s="38" customFormat="1" customHeight="1" spans="2:13">
      <c r="B88" s="93"/>
      <c r="C88" s="94">
        <f t="shared" si="0"/>
        <v>0</v>
      </c>
      <c r="D88" s="48"/>
      <c r="E88" s="48"/>
      <c r="F88" s="99"/>
      <c r="G88" s="100"/>
      <c r="H88" s="97"/>
      <c r="I88" s="98"/>
      <c r="J88" s="97"/>
      <c r="K88" s="49"/>
      <c r="M88" s="159"/>
    </row>
    <row r="89" s="38" customFormat="1" customHeight="1" spans="2:13">
      <c r="B89" s="93"/>
      <c r="C89" s="94">
        <f t="shared" si="0"/>
        <v>0</v>
      </c>
      <c r="D89" s="48"/>
      <c r="E89" s="48"/>
      <c r="F89" s="99"/>
      <c r="G89" s="100"/>
      <c r="H89" s="97"/>
      <c r="I89" s="98"/>
      <c r="J89" s="97"/>
      <c r="K89" s="49"/>
      <c r="M89" s="102"/>
    </row>
    <row r="90" s="38" customFormat="1" customHeight="1" spans="2:13">
      <c r="B90" s="93"/>
      <c r="C90" s="94">
        <f t="shared" si="0"/>
        <v>0</v>
      </c>
      <c r="D90" s="48"/>
      <c r="E90" s="48"/>
      <c r="F90" s="99"/>
      <c r="G90" s="100"/>
      <c r="H90" s="97"/>
      <c r="I90" s="98"/>
      <c r="J90" s="97"/>
      <c r="K90" s="49"/>
      <c r="M90" s="102"/>
    </row>
    <row r="91" s="38" customFormat="1" customHeight="1" spans="2:13">
      <c r="B91" s="93"/>
      <c r="C91" s="94">
        <f t="shared" ref="C91:C96" si="1">IF(C54="",0,"")</f>
        <v>0</v>
      </c>
      <c r="D91" s="48"/>
      <c r="E91" s="48"/>
      <c r="F91" s="99"/>
      <c r="G91" s="100"/>
      <c r="H91" s="97"/>
      <c r="I91" s="98"/>
      <c r="J91" s="97"/>
      <c r="K91" s="49"/>
      <c r="M91" s="102"/>
    </row>
    <row r="92" s="38" customFormat="1" customHeight="1" spans="2:13">
      <c r="B92" s="93"/>
      <c r="C92" s="94">
        <f t="shared" si="1"/>
        <v>0</v>
      </c>
      <c r="D92" s="48"/>
      <c r="E92" s="48"/>
      <c r="F92" s="99"/>
      <c r="G92" s="100"/>
      <c r="H92" s="97"/>
      <c r="I92" s="98"/>
      <c r="J92" s="97"/>
      <c r="K92" s="49"/>
      <c r="M92" s="102"/>
    </row>
    <row r="93" s="38" customFormat="1" customHeight="1" spans="2:13">
      <c r="B93" s="93"/>
      <c r="C93" s="94">
        <f t="shared" si="1"/>
        <v>0</v>
      </c>
      <c r="D93" s="48"/>
      <c r="E93" s="48"/>
      <c r="F93" s="99"/>
      <c r="G93" s="100"/>
      <c r="H93" s="97"/>
      <c r="I93" s="98"/>
      <c r="J93" s="97"/>
      <c r="K93" s="49"/>
      <c r="M93" s="102"/>
    </row>
    <row r="94" s="38" customFormat="1" customHeight="1" spans="2:13">
      <c r="B94" s="93"/>
      <c r="C94" s="94">
        <f t="shared" si="1"/>
        <v>0</v>
      </c>
      <c r="D94" s="48"/>
      <c r="E94" s="48"/>
      <c r="F94" s="99"/>
      <c r="G94" s="100"/>
      <c r="H94" s="97"/>
      <c r="I94" s="98"/>
      <c r="J94" s="97"/>
      <c r="K94" s="49"/>
      <c r="M94" s="159"/>
    </row>
    <row r="95" s="38" customFormat="1" customHeight="1" spans="2:13">
      <c r="B95" s="93"/>
      <c r="C95" s="94">
        <f t="shared" si="1"/>
        <v>0</v>
      </c>
      <c r="D95" s="48"/>
      <c r="E95" s="48"/>
      <c r="F95" s="99"/>
      <c r="G95" s="100"/>
      <c r="H95" s="99"/>
      <c r="I95" s="98"/>
      <c r="J95" s="99"/>
      <c r="K95" s="49"/>
      <c r="M95" s="159"/>
    </row>
    <row r="96" s="38" customFormat="1" customHeight="1" spans="2:13">
      <c r="B96" s="93"/>
      <c r="C96" s="94">
        <f t="shared" si="1"/>
        <v>0</v>
      </c>
      <c r="D96" s="48"/>
      <c r="E96" s="48"/>
      <c r="F96" s="99"/>
      <c r="G96" s="100"/>
      <c r="H96" s="99"/>
      <c r="I96" s="98"/>
      <c r="J96" s="99"/>
      <c r="K96" s="49"/>
      <c r="M96" s="159"/>
    </row>
    <row r="97" s="38" customFormat="1" hidden="1" customHeight="1" spans="1:17">
      <c r="B97" s="93"/>
      <c r="C97" s="94" t="str">
        <f>IF(C62="",0,"")</f>
        <v/>
      </c>
      <c r="D97" s="48"/>
      <c r="E97" s="48"/>
      <c r="F97" s="103"/>
      <c r="G97" s="100"/>
      <c r="H97" s="103"/>
      <c r="I97" s="98"/>
      <c r="J97" s="103"/>
      <c r="K97" s="49"/>
      <c r="M97" s="102"/>
    </row>
    <row r="98" s="38" customFormat="1" customHeight="1" spans="1:17">
      <c r="B98" s="93"/>
      <c r="C98" s="94">
        <v>0</v>
      </c>
      <c r="D98" s="48"/>
      <c r="E98" s="48"/>
      <c r="F98" s="99"/>
      <c r="G98" s="100"/>
      <c r="H98" s="99"/>
      <c r="I98" s="98"/>
      <c r="J98" s="99"/>
      <c r="K98" s="49"/>
      <c r="M98" s="159"/>
    </row>
    <row r="99" s="38" customFormat="1" ht="13.5" spans="1:17">
      <c r="B99" s="93"/>
      <c r="C99" s="105" t="s">
        <v>276</v>
      </c>
      <c r="D99" s="106" t="s">
        <v>277</v>
      </c>
      <c r="E99" s="107"/>
      <c r="F99" s="107"/>
      <c r="G99" s="107"/>
      <c r="H99" s="107"/>
      <c r="I99" s="107"/>
      <c r="J99" s="108"/>
      <c r="K99" s="49"/>
    </row>
    <row r="100" s="38" customFormat="1" ht="3.75" customHeight="1" spans="1:17">
      <c r="B100" s="109"/>
      <c r="C100" s="48">
        <v>0</v>
      </c>
      <c r="D100" s="48"/>
      <c r="E100" s="48"/>
      <c r="F100" s="48"/>
      <c r="G100" s="48"/>
      <c r="H100" s="48"/>
      <c r="I100" s="48"/>
      <c r="J100" s="48"/>
      <c r="K100" s="49"/>
    </row>
    <row r="101" s="38" customFormat="1" ht="10.5" customHeight="1" spans="1:17">
      <c r="B101" s="109"/>
      <c r="C101" s="48"/>
      <c r="D101" s="48"/>
      <c r="E101" s="48"/>
      <c r="F101" s="48"/>
      <c r="G101" s="48"/>
      <c r="H101" s="110"/>
      <c r="I101" s="110"/>
      <c r="J101" s="110"/>
      <c r="K101" s="49"/>
      <c r="M101" s="111"/>
    </row>
    <row r="102" s="38" customFormat="1" ht="13.5" spans="1:17">
      <c r="B102" s="46"/>
      <c r="C102" s="112" t="str">
        <f>IF(I5="Original para el empleado","Firma Empleador","Firma Empleado")</f>
        <v>Firma Empleador</v>
      </c>
      <c r="D102" s="113"/>
      <c r="E102" s="48"/>
      <c r="G102" s="114" t="s">
        <v>278</v>
      </c>
      <c r="H102" s="110">
        <f>SUBTOTAL(9,H19:H62)</f>
        <v>2213.745216</v>
      </c>
      <c r="I102" s="110">
        <f>SUBTOTAL(9,I19:I62)</f>
        <v>376.33668672</v>
      </c>
      <c r="J102" s="110">
        <f>SUBTOTAL(9,J19:J62)</f>
        <v>0.591470720000189</v>
      </c>
      <c r="K102" s="49"/>
      <c r="L102" s="111"/>
    </row>
    <row r="103" s="38" customFormat="1" ht="13.5" spans="1:17">
      <c r="B103" s="46"/>
      <c r="C103" s="115"/>
      <c r="D103" s="48"/>
      <c r="E103" s="48"/>
      <c r="F103" s="48"/>
      <c r="G103" s="48"/>
      <c r="H103" s="48"/>
      <c r="I103" s="162" t="s">
        <v>279</v>
      </c>
      <c r="J103" s="163">
        <f>ROUNDUP(L103,0)</f>
        <v>1838</v>
      </c>
      <c r="K103" s="49"/>
      <c r="L103" s="110">
        <f>+$H$102+$J$102-$I$102</f>
        <v>1838</v>
      </c>
    </row>
    <row r="104" s="38" customFormat="1" ht="27" customHeight="1" spans="1:17">
      <c r="B104" s="46"/>
      <c r="C104" s="117"/>
      <c r="D104" s="48"/>
      <c r="E104" s="119" t="s">
        <v>280</v>
      </c>
      <c r="F104" s="120"/>
      <c r="G104" s="120"/>
      <c r="H104" s="164" t="s">
        <v>281</v>
      </c>
      <c r="I104" s="164"/>
      <c r="J104" s="165"/>
      <c r="K104" s="49"/>
    </row>
    <row r="105" s="38" customFormat="1" ht="26.25" customHeight="1" spans="1:17">
      <c r="B105" s="46"/>
      <c r="C105" s="125"/>
      <c r="D105" s="48"/>
      <c r="E105" s="126" t="s">
        <v>282</v>
      </c>
      <c r="F105" s="127"/>
      <c r="G105" s="127"/>
      <c r="H105" s="127"/>
      <c r="I105" s="127"/>
      <c r="J105" s="128"/>
      <c r="K105" s="49"/>
      <c r="M105" s="48"/>
      <c r="N105" s="48"/>
      <c r="O105" s="48"/>
      <c r="P105" s="48"/>
    </row>
    <row r="106" s="38" customFormat="1" ht="9" customHeight="1" spans="1:17">
      <c r="B106" s="54"/>
      <c r="C106" s="55"/>
      <c r="D106" s="55"/>
      <c r="E106" s="55"/>
      <c r="F106" s="55"/>
      <c r="G106" s="55"/>
      <c r="H106" s="55"/>
      <c r="I106" s="166"/>
      <c r="J106" s="166"/>
      <c r="K106" s="56"/>
      <c r="M106" s="48"/>
      <c r="N106" s="48"/>
      <c r="O106" s="48"/>
      <c r="P106" s="48"/>
    </row>
    <row r="107" customFormat="1" customHeight="1" spans="1:17">
      <c r="A107" s="167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38"/>
      <c r="M107" s="168"/>
      <c r="N107" s="168"/>
      <c r="O107" s="168"/>
      <c r="P107" s="168"/>
    </row>
    <row r="108" spans="1:17">
      <c r="M108" s="135"/>
      <c r="N108" s="135"/>
      <c r="O108" s="135"/>
      <c r="P108" s="135"/>
      <c r="Q108" s="135"/>
    </row>
    <row r="110" ht="5.25" customHeight="1"/>
    <row r="111" ht="6" customHeight="1"/>
    <row r="112" ht="27" customHeight="1"/>
    <row r="113" ht="13.5" customHeight="1"/>
    <row r="114" ht="5.25" customHeight="1"/>
    <row r="115" ht="25.5" customHeight="1"/>
    <row r="116" ht="13.5" customHeight="1"/>
    <row r="117" ht="5.25" customHeight="1"/>
    <row r="118" ht="15" customHeight="1"/>
    <row r="119" ht="13.5" customHeight="1"/>
    <row r="120" ht="5.25" customHeight="1"/>
    <row r="121" ht="27.75" customHeight="1"/>
    <row r="153" customHeight="1"/>
    <row r="154" customHeight="1"/>
    <row r="155" customHeight="1"/>
    <row r="156" customHeight="1"/>
    <row r="157" customHeight="1"/>
    <row r="159" ht="3.75" customHeight="1"/>
    <row r="162" ht="54" customHeight="1"/>
    <row r="163" ht="9.75" customHeight="1"/>
  </sheetData>
  <sheetProtection sheet="1" objects="1" scenarios="1"/>
  <autoFilter xmlns:etc="http://www.wps.cn/officeDocument/2017/etCustomData" ref="C18:J100" etc:filterBottomFollowUsedRange="0">
    <filterColumn colId="0">
      <customFilters>
        <customFilter operator="notEqual" val=""/>
      </customFilters>
    </filterColumn>
    <extLst/>
  </autoFilter>
  <mergeCells count="21">
    <mergeCell ref="B2:H2"/>
    <mergeCell ref="I5:J5"/>
    <mergeCell ref="C9:E9"/>
    <mergeCell ref="C10:E10"/>
    <mergeCell ref="D12:G12"/>
    <mergeCell ref="I12:J12"/>
    <mergeCell ref="D13:G13"/>
    <mergeCell ref="I13:J13"/>
    <mergeCell ref="C15:D15"/>
    <mergeCell ref="E15:G15"/>
    <mergeCell ref="I15:J15"/>
    <mergeCell ref="C16:D16"/>
    <mergeCell ref="E16:G16"/>
    <mergeCell ref="I16:J16"/>
    <mergeCell ref="C18:E18"/>
    <mergeCell ref="D99:J99"/>
    <mergeCell ref="E104:G104"/>
    <mergeCell ref="H104:J104"/>
    <mergeCell ref="E105:J105"/>
    <mergeCell ref="B19:B99"/>
    <mergeCell ref="C103:C105"/>
  </mergeCells>
  <conditionalFormatting sqref="C16:D16">
    <cfRule type="expression" dxfId="1" priority="4" stopIfTrue="1">
      <formula>$C$16=0</formula>
    </cfRule>
  </conditionalFormatting>
  <conditionalFormatting sqref="E16:G16">
    <cfRule type="expression" dxfId="1" priority="3" stopIfTrue="1">
      <formula>$E$16=0</formula>
    </cfRule>
  </conditionalFormatting>
  <conditionalFormatting sqref="D99:J99">
    <cfRule type="expression" dxfId="2" priority="8" stopIfTrue="1">
      <formula>$D$99&lt;&gt;""</formula>
    </cfRule>
  </conditionalFormatting>
  <conditionalFormatting sqref="H104:J104">
    <cfRule type="expression" dxfId="3" priority="7" stopIfTrue="1">
      <formula>H104&lt;&gt;""</formula>
    </cfRule>
  </conditionalFormatting>
  <conditionalFormatting sqref="I16:J16;J103;L103;H101:J102;I13:J13;C10:J10">
    <cfRule type="expression" dxfId="1" priority="2" stopIfTrue="1">
      <formula>C10=0</formula>
    </cfRule>
  </conditionalFormatting>
  <conditionalFormatting sqref="C13:H13;H16">
    <cfRule type="expression" dxfId="2" priority="1" stopIfTrue="1">
      <formula>C13&lt;&gt;""</formula>
    </cfRule>
  </conditionalFormatting>
  <conditionalFormatting sqref="G19:G98;C19:C99;I19:I98">
    <cfRule type="expression" dxfId="1" priority="5" stopIfTrue="1">
      <formula>C19=0</formula>
    </cfRule>
  </conditionalFormatting>
  <conditionalFormatting sqref="J95:J98;H19:H98;J19:J61;F19:F98">
    <cfRule type="expression" dxfId="0" priority="6" stopIfTrue="1">
      <formula>F19=0</formula>
    </cfRule>
  </conditionalFormatting>
  <dataValidations count="2">
    <dataValidation type="list" showInputMessage="1" showErrorMessage="1" sqref="I5:J5">
      <formula1>"Original para el Empleado;Duplicado del Empleador"</formula1>
    </dataValidation>
    <dataValidation type="list" showInputMessage="1" showErrorMessage="1" errorTitle="Número de Legajo Erroneo" error="El número de legajo que desea ingresar es inexistente. Consulte la hoja &quot;Datos Empleados&quot;." sqref="J6">
      <formula1>ListaLegajo</formula1>
    </dataValidation>
  </dataValidations>
  <printOptions horizontalCentered="1" verticalCentered="1"/>
  <pageMargins left="0.75" right="0.75" top="1" bottom="1" header="0" footer="0"/>
  <pageSetup paperSize="9" scale="80" orientation="portrait" blackAndWhite="1" horizontalDpi="300" verticalDpi="300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Hoja10"/>
  <dimension ref="A1:IU113"/>
  <sheetViews>
    <sheetView showGridLines="0" zoomScaleSheetLayoutView="60" topLeftCell="B1" workbookViewId="0">
      <selection activeCell="I32" sqref="I32"/>
    </sheetView>
  </sheetViews>
  <sheetFormatPr defaultColWidth="11.4285714285714" defaultRowHeight="12.75"/>
  <cols>
    <col min="1" max="1" width="1.42857142857143" style="39" customWidth="1"/>
    <col min="2" max="2" width="1.71428571428571" style="39" customWidth="1"/>
    <col min="3" max="3" width="17.7142857142857" style="39" customWidth="1"/>
    <col min="4" max="4" width="1.28571428571429" style="39" customWidth="1"/>
    <col min="5" max="5" width="10.2857142857143" style="39" customWidth="1"/>
    <col min="6" max="6" width="11.8571428571429" style="39" customWidth="1"/>
    <col min="7" max="7" width="14.5714285714286" style="39" customWidth="1"/>
    <col min="8" max="8" width="16.4285714285714" style="39" customWidth="1"/>
    <col min="9" max="9" width="12.8571428571429" style="39" customWidth="1"/>
    <col min="10" max="10" width="15.2857142857143" style="39" customWidth="1"/>
    <col min="11" max="11" width="1.71428571428571" style="39" customWidth="1"/>
    <col min="12" max="12" width="8.28571428571429" style="38" hidden="1" customWidth="1"/>
    <col min="13" max="16384" width="11.4285714285714" style="39"/>
  </cols>
  <sheetData>
    <row r="1" s="18" customFormat="1" ht="6" customHeight="1" spans="1:255">
      <c r="A1" s="23"/>
      <c r="B1" s="23"/>
      <c r="C1" s="23"/>
      <c r="D1" s="24"/>
      <c r="E1" s="23"/>
      <c r="F1" s="24"/>
      <c r="G1" s="23"/>
      <c r="H1" s="24"/>
      <c r="I1" s="23"/>
      <c r="J1" s="24"/>
      <c r="K1" s="23"/>
      <c r="L1" s="23"/>
      <c r="M1" s="24"/>
      <c r="N1" s="23"/>
      <c r="O1" s="24"/>
      <c r="P1" s="23"/>
      <c r="Q1" s="24"/>
      <c r="R1" s="23"/>
      <c r="S1" s="24"/>
      <c r="T1" s="23"/>
      <c r="U1" s="24"/>
      <c r="V1" s="23"/>
      <c r="W1" s="24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5"/>
      <c r="AJ1" s="25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</row>
    <row r="2" s="19" customFormat="1" ht="21.75" customHeight="1" spans="1:255">
      <c r="B2" s="26" t="s">
        <v>283</v>
      </c>
      <c r="C2" s="26"/>
      <c r="D2" s="26"/>
      <c r="E2" s="26"/>
      <c r="F2" s="26"/>
      <c r="G2" s="26"/>
      <c r="H2" s="26"/>
    </row>
    <row r="3" s="37" customFormat="1" ht="21.75" customHeight="1" spans="1:255">
      <c r="B3" s="40"/>
      <c r="C3" s="40"/>
      <c r="D3" s="40"/>
      <c r="E3" s="40"/>
      <c r="F3" s="40"/>
      <c r="G3" s="41"/>
      <c r="H3" s="40"/>
    </row>
    <row r="4" s="38" customFormat="1" ht="5.25" customHeight="1" spans="1:255">
      <c r="B4" s="42"/>
      <c r="C4" s="43"/>
      <c r="D4" s="43"/>
      <c r="E4" s="43"/>
      <c r="F4" s="43"/>
      <c r="G4" s="43"/>
      <c r="H4" s="44"/>
      <c r="I4" s="42"/>
      <c r="J4" s="45"/>
      <c r="K4" s="44"/>
    </row>
    <row r="5" s="38" customFormat="1" spans="1:255">
      <c r="B5" s="46"/>
      <c r="C5" s="47" t="str">
        <f>IF(OR(Empleador!D6="",J6=""),"",Empleador!D6)</f>
        <v>CARETTA MARIA DEL CARMEN</v>
      </c>
      <c r="D5" s="48"/>
      <c r="E5" s="48"/>
      <c r="F5" s="48" t="str">
        <f>IF(OR(Empleador!D8="",J6=""),"",Empleador!D8)</f>
        <v>CMTE RODRIGUEZ Nº 147</v>
      </c>
      <c r="H5" s="49"/>
      <c r="I5" s="50" t="s">
        <v>284</v>
      </c>
      <c r="J5" s="51"/>
      <c r="K5" s="49"/>
    </row>
    <row r="6" s="38" customFormat="1" spans="1:255">
      <c r="B6" s="46"/>
      <c r="C6" s="48" t="str">
        <f>IF(J6="","","CUIT: "&amp;Empleador!D7)</f>
        <v>CUIT: 27202918684</v>
      </c>
      <c r="D6" s="48"/>
      <c r="E6" s="48"/>
      <c r="F6" s="48" t="str">
        <f>IF(OR(Empleador!D9="",Empleador!D10="",J6="")=TRUE,"",Empleador!D9&amp;"; "&amp;Empleador!D10)</f>
        <v>MALARGUE; Mendoza</v>
      </c>
      <c r="H6" s="49"/>
      <c r="I6" s="52" t="s">
        <v>258</v>
      </c>
      <c r="J6" s="53">
        <v>1</v>
      </c>
      <c r="K6" s="49"/>
    </row>
    <row r="7" s="38" customFormat="1" ht="5.25" customHeight="1" spans="1:255">
      <c r="B7" s="54"/>
      <c r="C7" s="55"/>
      <c r="D7" s="55"/>
      <c r="E7" s="55"/>
      <c r="F7" s="55"/>
      <c r="G7" s="55"/>
      <c r="H7" s="56"/>
      <c r="I7" s="54"/>
      <c r="J7" s="55"/>
      <c r="K7" s="56"/>
    </row>
    <row r="8" s="38" customFormat="1" ht="6" customHeight="1" spans="1:255">
      <c r="B8" s="42"/>
      <c r="C8" s="43"/>
      <c r="D8" s="43"/>
      <c r="E8" s="43"/>
      <c r="F8" s="43"/>
      <c r="G8" s="43"/>
      <c r="H8" s="43"/>
      <c r="I8" s="43"/>
      <c r="J8" s="43"/>
      <c r="K8" s="44"/>
    </row>
    <row r="9" s="38" customFormat="1" ht="27" customHeight="1" spans="1:255">
      <c r="B9" s="46"/>
      <c r="C9" s="57" t="s">
        <v>259</v>
      </c>
      <c r="D9" s="58"/>
      <c r="E9" s="59"/>
      <c r="F9" s="60" t="s">
        <v>168</v>
      </c>
      <c r="G9" s="60" t="s">
        <v>170</v>
      </c>
      <c r="H9" s="60" t="s">
        <v>260</v>
      </c>
      <c r="I9" s="60" t="s">
        <v>3</v>
      </c>
      <c r="J9" s="61" t="s">
        <v>261</v>
      </c>
      <c r="K9" s="62"/>
    </row>
    <row r="10" s="38" customFormat="1" ht="13.5" customHeight="1" spans="1:255">
      <c r="B10" s="46"/>
      <c r="C10" s="63" t="str">
        <f>IF(J6="","",VLOOKUP(J6,TablaEmpleados,3,FALSE))</f>
        <v>ARANIBAR CLAUDIA CRISTINA</v>
      </c>
      <c r="D10" s="64"/>
      <c r="E10" s="64"/>
      <c r="F10" s="65">
        <f>IF($J$6="","",VLOOKUP($J$6,TablaEmpleados,2,FALSE))</f>
        <v>40848</v>
      </c>
      <c r="G10" s="66" t="str">
        <f>IF($J$6="","",VLOOKUP($J$6,TablaEmpleados,4,FALSE))</f>
        <v>27-23067512-6</v>
      </c>
      <c r="H10" s="66">
        <f>IF($J$6="","",VLOOKUP($J$6,TablaEmpleados,11,FALSE))</f>
        <v>0</v>
      </c>
      <c r="I10" s="66" t="str">
        <f>IF($J$6="","",VLOOKUP($J$6,TablaEmpleados,14,FALSE))</f>
        <v>SIPA</v>
      </c>
      <c r="J10" s="67" t="str">
        <f>IF($J$6="","",VLOOKUP($J$6,TablaRemuneracion,3,FALSE))</f>
        <v>|</v>
      </c>
      <c r="K10" s="62"/>
    </row>
    <row r="11" s="38" customFormat="1" ht="5.25" customHeight="1" spans="1:255">
      <c r="B11" s="46"/>
      <c r="C11" s="68"/>
      <c r="D11" s="68"/>
      <c r="E11" s="68"/>
      <c r="F11" s="68"/>
      <c r="G11" s="68"/>
      <c r="H11" s="68"/>
      <c r="I11" s="68"/>
      <c r="J11" s="68"/>
      <c r="K11" s="49"/>
    </row>
    <row r="12" s="38" customFormat="1" ht="25.5" customHeight="1" spans="1:255">
      <c r="B12" s="62"/>
      <c r="C12" s="69" t="s">
        <v>262</v>
      </c>
      <c r="D12" s="61" t="s">
        <v>263</v>
      </c>
      <c r="E12" s="70"/>
      <c r="F12" s="70"/>
      <c r="G12" s="69"/>
      <c r="H12" s="71" t="s">
        <v>264</v>
      </c>
      <c r="I12" s="72" t="s">
        <v>177</v>
      </c>
      <c r="J12" s="73"/>
      <c r="K12" s="49"/>
    </row>
    <row r="13" s="38" customFormat="1" ht="13.5" customHeight="1" spans="1:255">
      <c r="B13" s="62"/>
      <c r="C13" s="74">
        <f>Recibo!C13</f>
        <v>40878</v>
      </c>
      <c r="D13" s="75" t="s">
        <v>265</v>
      </c>
      <c r="E13" s="75"/>
      <c r="F13" s="75"/>
      <c r="G13" s="75"/>
      <c r="H13" s="76">
        <v>40931</v>
      </c>
      <c r="I13" s="77" t="str">
        <f>IF($J$6="","",VLOOKUP($J$6,TablaEmpleados,12,FALSE))</f>
        <v>VENDEDOR</v>
      </c>
      <c r="J13" s="78"/>
      <c r="K13" s="49"/>
    </row>
    <row r="14" s="38" customFormat="1" ht="5.25" customHeight="1" spans="1:255">
      <c r="B14" s="46"/>
      <c r="C14" s="79"/>
      <c r="D14" s="79"/>
      <c r="E14" s="79"/>
      <c r="F14" s="79"/>
      <c r="G14" s="79"/>
      <c r="H14" s="79"/>
      <c r="I14" s="79"/>
      <c r="J14" s="79"/>
      <c r="K14" s="49"/>
    </row>
    <row r="15" s="38" customFormat="1" ht="15" customHeight="1" spans="1:255">
      <c r="B15" s="46"/>
      <c r="C15" s="80" t="s">
        <v>266</v>
      </c>
      <c r="D15" s="81"/>
      <c r="E15" s="81" t="s">
        <v>267</v>
      </c>
      <c r="F15" s="81"/>
      <c r="G15" s="81"/>
      <c r="H15" s="81" t="s">
        <v>268</v>
      </c>
      <c r="I15" s="81" t="s">
        <v>269</v>
      </c>
      <c r="J15" s="82"/>
      <c r="K15" s="49"/>
    </row>
    <row r="16" s="38" customFormat="1" ht="13.5" spans="1:255">
      <c r="B16" s="46"/>
      <c r="C16" s="83">
        <f>IF(J6="","",Remuneración!C4)</f>
        <v>41000</v>
      </c>
      <c r="D16" s="84"/>
      <c r="E16" s="84" t="str">
        <f>IF(J6="","",Empleador!D12)</f>
        <v>Malargue, Mza</v>
      </c>
      <c r="F16" s="84"/>
      <c r="G16" s="84"/>
      <c r="H16" s="85">
        <v>40945</v>
      </c>
      <c r="I16" s="86" t="str">
        <f>IF($J$6="","",VLOOKUP($J$6,TablaEmpleados,13,FALSE))</f>
        <v>Categ. B</v>
      </c>
      <c r="J16" s="87"/>
      <c r="K16" s="62"/>
    </row>
    <row r="17" s="38" customFormat="1" ht="5.25" customHeight="1" spans="2:13">
      <c r="B17" s="46"/>
      <c r="C17" s="79"/>
      <c r="D17" s="79"/>
      <c r="E17" s="79"/>
      <c r="F17" s="79"/>
      <c r="G17" s="79"/>
      <c r="H17" s="79"/>
      <c r="I17" s="79"/>
      <c r="J17" s="79"/>
      <c r="K17" s="49"/>
    </row>
    <row r="18" s="38" customFormat="1" ht="26.25" customHeight="1" spans="2:13">
      <c r="B18" s="46"/>
      <c r="C18" s="88" t="s">
        <v>270</v>
      </c>
      <c r="D18" s="89"/>
      <c r="E18" s="90"/>
      <c r="F18" s="91" t="s">
        <v>271</v>
      </c>
      <c r="G18" s="91" t="s">
        <v>82</v>
      </c>
      <c r="H18" s="91" t="s">
        <v>272</v>
      </c>
      <c r="I18" s="91" t="s">
        <v>273</v>
      </c>
      <c r="J18" s="92" t="s">
        <v>274</v>
      </c>
      <c r="K18" s="49"/>
    </row>
    <row r="19" s="38" customFormat="1" spans="2:13">
      <c r="B19" s="93" t="s">
        <v>275</v>
      </c>
      <c r="C19" s="94" t="str">
        <f>IF($J$6="","",IF(VLOOKUP($J$6,TablaRemuneracion,37,FALSE)&lt;&gt;"",Remuneración!AL7,""))</f>
        <v/>
      </c>
      <c r="D19" s="48"/>
      <c r="E19" s="48"/>
      <c r="F19" s="99"/>
      <c r="G19" s="96"/>
      <c r="H19" s="136">
        <f>IF($J$6="",0,IF(C19="",0,VLOOKUP($J$6,TablaRemuneracion,37,FALSE)))</f>
        <v>0</v>
      </c>
      <c r="I19" s="137"/>
      <c r="J19" s="136"/>
      <c r="K19" s="49"/>
    </row>
    <row r="20" s="38" customFormat="1" spans="2:13">
      <c r="B20" s="93"/>
      <c r="C20" s="94" t="str">
        <f>IF($C$19="","",IF(C19="","",IF($J$6="","",IF(VLOOKUP($J$6,TablaNoRemunerativo,3,FALSE)&lt;&gt;"",'Ret. y no Rem.'!D5,""))))</f>
        <v/>
      </c>
      <c r="D20" s="48"/>
      <c r="E20" s="48"/>
      <c r="F20" s="99"/>
      <c r="G20" s="100" t="str">
        <f>IF(C20="","",VLOOKUP($J$6,TablaNoRemunerativo,3,FALSE))</f>
        <v/>
      </c>
      <c r="H20" s="136"/>
      <c r="I20" s="138">
        <f>IF(C20="",0,VLOOKUP($J$6,TablaNoRemunerativo,3,FALSE)*H19)</f>
        <v>0</v>
      </c>
      <c r="J20" s="136"/>
      <c r="K20" s="49"/>
      <c r="M20" s="102"/>
    </row>
    <row r="21" s="38" customFormat="1" spans="2:13">
      <c r="B21" s="93"/>
      <c r="C21" s="94" t="str">
        <f>IF(C19="","",IF(C19="","",IF($J$6="","",IF(VLOOKUP($J$6,TablaNoRemunerativo,5,FALSE)&lt;&gt;"",'Ret. y no Rem.'!F5,""))))</f>
        <v/>
      </c>
      <c r="D21" s="48"/>
      <c r="E21" s="48"/>
      <c r="F21" s="99"/>
      <c r="G21" s="100" t="str">
        <f>IF(C21="","",VLOOKUP($J$6,TablaNoRemunerativo,5,FALSE))</f>
        <v/>
      </c>
      <c r="H21" s="136"/>
      <c r="I21" s="138">
        <f>IF(C21="",0,VLOOKUP($J$6,TablaNoRemunerativo,5,FALSE)*H19)</f>
        <v>0</v>
      </c>
      <c r="J21" s="136"/>
      <c r="K21" s="49"/>
      <c r="M21" s="102"/>
    </row>
    <row r="22" s="38" customFormat="1" spans="2:13">
      <c r="B22" s="93"/>
      <c r="C22" s="94" t="str">
        <f>IF(C19="","",IF(C19="","",IF($J$6="","",IF(VLOOKUP($J$6,TablaNoRemunerativo,7,FALSE)&lt;&gt;"",'Ret. y no Rem.'!H5,""))))</f>
        <v/>
      </c>
      <c r="D22" s="48"/>
      <c r="E22" s="48"/>
      <c r="F22" s="99"/>
      <c r="G22" s="100" t="str">
        <f>IF(C22="","",VLOOKUP($J$6,TablaNoRemunerativo,7,FALSE))</f>
        <v/>
      </c>
      <c r="H22" s="136"/>
      <c r="I22" s="138">
        <f>IF(C22="",0,VLOOKUP($J$6,TablaNoRemunerativo,7,FALSE)*H19)</f>
        <v>0</v>
      </c>
      <c r="J22" s="136"/>
      <c r="K22" s="49"/>
      <c r="M22" s="102"/>
    </row>
    <row r="23" s="38" customFormat="1" hidden="1" spans="2:13">
      <c r="B23" s="93"/>
      <c r="C23" s="94" t="str">
        <f>IF(C19="","",IF(C19="","",IF($J$6="","",IF(VLOOKUP($J$6,TablaNoRemunerativo,9,FALSE)&lt;&gt;"",'Ret. y no Rem.'!J5,""))))</f>
        <v/>
      </c>
      <c r="D23" s="48"/>
      <c r="E23" s="48"/>
      <c r="F23" s="103"/>
      <c r="G23" s="100" t="str">
        <f>IF(C23="","",VLOOKUP($J$6,TablaNoRemunerativo,9,FALSE))</f>
        <v/>
      </c>
      <c r="H23" s="104"/>
      <c r="I23" s="101">
        <f>IF(C23="",0,VLOOKUP($J$6,TablaNoRemunerativo,9,FALSE)*H19)</f>
        <v>0</v>
      </c>
      <c r="J23" s="104"/>
      <c r="K23" s="49"/>
      <c r="M23" s="102"/>
    </row>
    <row r="24" s="38" customFormat="1" hidden="1" spans="2:13">
      <c r="B24" s="93"/>
      <c r="C24" s="94" t="str">
        <f>IF(C19="","",IF(C19="","",IF($J$6="","",IF(VLOOKUP($J$6,TablaNoRemunerativo,11,FALSE)&lt;&gt;"",'Ret. y no Rem.'!L5,""))))</f>
        <v/>
      </c>
      <c r="D24" s="48"/>
      <c r="E24" s="48"/>
      <c r="F24" s="99"/>
      <c r="G24" s="100" t="str">
        <f>IF(C24="","",VLOOKUP($J$6,TablaNoRemunerativo,11,FALSE))</f>
        <v/>
      </c>
      <c r="H24" s="136"/>
      <c r="I24" s="138">
        <f>IF(C24="",0,VLOOKUP($J$6,TablaNoRemunerativo,11,FALSE)*H19)</f>
        <v>0</v>
      </c>
      <c r="J24" s="136"/>
      <c r="K24" s="49"/>
      <c r="M24" s="102"/>
    </row>
    <row r="25" s="38" customFormat="1" spans="2:13">
      <c r="B25" s="93"/>
      <c r="C25" s="94" t="str">
        <f>IF(C19="","",IF(C19="","",IF($J$6="","",IF(VLOOKUP($J$6,TablaNoRemunerativo,17,FALSE)&lt;&gt;"",'Ret. y no Rem.'!R5,""))))</f>
        <v/>
      </c>
      <c r="D25" s="48"/>
      <c r="E25" s="48"/>
      <c r="F25" s="99"/>
      <c r="G25" s="100" t="str">
        <f>IF(C25="","",VLOOKUP($J$6,TablaNoRemunerativo,17,FALSE))</f>
        <v/>
      </c>
      <c r="H25" s="136"/>
      <c r="I25" s="138">
        <f>IF(C25="",0,VLOOKUP($J$6,TablaNoRemunerativo,17,FALSE)*H19)</f>
        <v>0</v>
      </c>
      <c r="J25" s="136"/>
      <c r="K25" s="49"/>
      <c r="M25" s="102"/>
    </row>
    <row r="26" s="38" customFormat="1" hidden="1" spans="2:13">
      <c r="B26" s="93"/>
      <c r="C26" s="94" t="str">
        <f>IF(C19="","",IF(C19="","",IF($J$6="","",IF(VLOOKUP($J$6,TablaNoRemunerativo,21,FALSE)&lt;&gt;"",'Ret. y no Rem.'!V5,""))))</f>
        <v/>
      </c>
      <c r="D26" s="48"/>
      <c r="E26" s="48"/>
      <c r="F26" s="103"/>
      <c r="G26" s="100" t="str">
        <f>IF(C26="","",VLOOKUP($J$6,TablaNoRemunerativo,21,FALSE))</f>
        <v/>
      </c>
      <c r="H26" s="104"/>
      <c r="I26" s="101">
        <f>IF(C26="",0,VLOOKUP($J$6,TablaNoRemunerativo,21,FALSE)*H19)</f>
        <v>0</v>
      </c>
      <c r="J26" s="104"/>
      <c r="K26" s="49"/>
      <c r="M26" s="102"/>
    </row>
    <row r="27" s="38" customFormat="1" hidden="1" spans="2:13">
      <c r="B27" s="93"/>
      <c r="C27" s="94" t="str">
        <f>IF(C19="","",IF(C19="","",IF($J$6="","",IF(VLOOKUP($J$6,TablaNoRemunerativo,23,FALSE)&lt;&gt;"",'Ret. y no Rem.'!X5,""))))</f>
        <v/>
      </c>
      <c r="D27" s="48"/>
      <c r="E27" s="48"/>
      <c r="F27" s="103"/>
      <c r="G27" s="100" t="str">
        <f>IF(C27="","",VLOOKUP($J$6,TablaNoRemunerativo,23,FALSE))</f>
        <v/>
      </c>
      <c r="H27" s="104"/>
      <c r="I27" s="101">
        <f>IF(C27="",0,VLOOKUP($J$6,TablaNoRemunerativo,23,FALSE)*H19)</f>
        <v>0</v>
      </c>
      <c r="J27" s="104"/>
      <c r="K27" s="49"/>
      <c r="M27" s="102"/>
    </row>
    <row r="28" s="38" customFormat="1" customHeight="1" spans="2:13">
      <c r="B28" s="93"/>
      <c r="C28" s="94" t="str">
        <f>IF(C19="","",IF(C19="","",IF($J$6="","",IF(VLOOKUP($J$6,TablaNoRemunerativo,37,FALSE)&lt;&gt;"",'Ret. y no Rem.'!AL6,""))))</f>
        <v/>
      </c>
      <c r="D28" s="48"/>
      <c r="E28" s="48"/>
      <c r="F28" s="99"/>
      <c r="G28" s="100"/>
      <c r="H28" s="136"/>
      <c r="I28" s="137"/>
      <c r="J28" s="136" t="str">
        <f>IF(C28="","",ROUNDUP(L52,0)-L52)</f>
        <v/>
      </c>
      <c r="K28" s="49"/>
      <c r="M28" s="102"/>
    </row>
    <row r="29" s="38" customFormat="1" hidden="1" customHeight="1" spans="2:13">
      <c r="B29" s="93"/>
      <c r="C29" s="94">
        <f t="shared" ref="C29:C34" si="0">IF(C20="",0,"")</f>
        <v>0</v>
      </c>
      <c r="D29" s="48"/>
      <c r="E29" s="48"/>
      <c r="F29" s="103"/>
      <c r="G29" s="100"/>
      <c r="H29" s="104"/>
      <c r="I29" s="98"/>
      <c r="J29" s="104"/>
      <c r="K29" s="49"/>
      <c r="M29" s="102"/>
    </row>
    <row r="30" s="38" customFormat="1" hidden="1" customHeight="1" spans="2:13">
      <c r="B30" s="93"/>
      <c r="C30" s="94">
        <f t="shared" si="0"/>
        <v>0</v>
      </c>
      <c r="D30" s="48"/>
      <c r="E30" s="48"/>
      <c r="F30" s="103"/>
      <c r="G30" s="100"/>
      <c r="H30" s="104"/>
      <c r="I30" s="98"/>
      <c r="J30" s="104"/>
      <c r="K30" s="49"/>
      <c r="M30" s="102"/>
    </row>
    <row r="31" s="38" customFormat="1" hidden="1" customHeight="1" spans="2:13">
      <c r="B31" s="93"/>
      <c r="C31" s="94">
        <f t="shared" si="0"/>
        <v>0</v>
      </c>
      <c r="D31" s="48"/>
      <c r="E31" s="48"/>
      <c r="F31" s="103"/>
      <c r="G31" s="100"/>
      <c r="H31" s="104"/>
      <c r="I31" s="98"/>
      <c r="J31" s="104"/>
      <c r="K31" s="49"/>
      <c r="M31" s="102"/>
    </row>
    <row r="32" s="38" customFormat="1" customHeight="1" spans="2:13">
      <c r="B32" s="93"/>
      <c r="C32" s="94">
        <f t="shared" si="0"/>
        <v>0</v>
      </c>
      <c r="D32" s="48"/>
      <c r="E32" s="48"/>
      <c r="F32" s="99"/>
      <c r="G32" s="100"/>
      <c r="H32" s="136"/>
      <c r="I32" s="137"/>
      <c r="J32" s="136"/>
      <c r="K32" s="49"/>
      <c r="M32" s="102"/>
    </row>
    <row r="33" s="38" customFormat="1" ht="13.5" customHeight="1" spans="2:13">
      <c r="B33" s="93"/>
      <c r="C33" s="94">
        <f t="shared" si="0"/>
        <v>0</v>
      </c>
      <c r="D33" s="48"/>
      <c r="E33" s="48"/>
      <c r="F33" s="99"/>
      <c r="G33" s="100"/>
      <c r="H33" s="97"/>
      <c r="I33" s="98"/>
      <c r="J33" s="97"/>
      <c r="K33" s="49"/>
      <c r="M33" s="102"/>
    </row>
    <row r="34" s="38" customFormat="1" hidden="1" customHeight="1" spans="2:13">
      <c r="B34" s="93"/>
      <c r="C34" s="94">
        <f t="shared" si="0"/>
        <v>0</v>
      </c>
      <c r="D34" s="48"/>
      <c r="E34" s="48"/>
      <c r="F34" s="103"/>
      <c r="G34" s="100"/>
      <c r="H34" s="104"/>
      <c r="I34" s="98"/>
      <c r="J34" s="104"/>
      <c r="K34" s="49"/>
      <c r="M34" s="102"/>
    </row>
    <row r="35" s="38" customFormat="1" ht="18" hidden="1" customHeight="1" spans="2:13">
      <c r="B35" s="93"/>
      <c r="C35" s="94"/>
      <c r="D35" s="48"/>
      <c r="E35" s="48"/>
      <c r="F35" s="99"/>
      <c r="G35" s="100"/>
      <c r="H35" s="136"/>
      <c r="I35" s="137"/>
      <c r="J35" s="136"/>
      <c r="K35" s="49"/>
      <c r="M35" s="102"/>
    </row>
    <row r="36" s="38" customFormat="1" customHeight="1" spans="2:13">
      <c r="B36" s="93"/>
      <c r="C36" s="94">
        <f>IF(C26="",0,"")</f>
        <v>0</v>
      </c>
      <c r="D36" s="48"/>
      <c r="E36" s="48"/>
      <c r="F36" s="99"/>
      <c r="G36" s="100"/>
      <c r="H36" s="136"/>
      <c r="I36" s="137"/>
      <c r="J36" s="136"/>
      <c r="K36" s="49"/>
      <c r="M36" s="102"/>
    </row>
    <row r="37" s="38" customFormat="1" customHeight="1" spans="2:13">
      <c r="B37" s="93"/>
      <c r="C37" s="94">
        <f>IF(C27="",0,"")</f>
        <v>0</v>
      </c>
      <c r="D37" s="48"/>
      <c r="E37" s="48"/>
      <c r="F37" s="99"/>
      <c r="G37" s="100"/>
      <c r="H37" s="136"/>
      <c r="I37" s="137"/>
      <c r="J37" s="136"/>
      <c r="K37" s="49"/>
      <c r="M37" s="102"/>
    </row>
    <row r="38" s="38" customFormat="1" customHeight="1" spans="2:13">
      <c r="B38" s="93"/>
      <c r="C38" s="94">
        <v>0</v>
      </c>
      <c r="D38" s="48"/>
      <c r="E38" s="48"/>
      <c r="F38" s="99"/>
      <c r="G38" s="100"/>
      <c r="H38" s="136"/>
      <c r="I38" s="137"/>
      <c r="J38" s="136"/>
      <c r="K38" s="49"/>
      <c r="M38" s="102"/>
    </row>
    <row r="39" s="38" customFormat="1" customHeight="1" spans="2:13">
      <c r="B39" s="93"/>
      <c r="C39" s="94">
        <v>0</v>
      </c>
      <c r="D39" s="48"/>
      <c r="E39" s="48"/>
      <c r="F39" s="99"/>
      <c r="G39" s="100"/>
      <c r="H39" s="136"/>
      <c r="I39" s="137"/>
      <c r="J39" s="136"/>
      <c r="K39" s="49"/>
      <c r="M39" s="102"/>
    </row>
    <row r="40" s="38" customFormat="1" customHeight="1" spans="2:13">
      <c r="B40" s="93"/>
      <c r="C40" s="94">
        <v>0</v>
      </c>
      <c r="D40" s="48"/>
      <c r="E40" s="48"/>
      <c r="F40" s="99"/>
      <c r="G40" s="100"/>
      <c r="H40" s="136"/>
      <c r="I40" s="137"/>
      <c r="J40" s="136"/>
      <c r="K40" s="49"/>
      <c r="M40" s="102"/>
    </row>
    <row r="41" s="38" customFormat="1" customHeight="1" spans="2:13">
      <c r="B41" s="93"/>
      <c r="C41" s="94">
        <v>0</v>
      </c>
      <c r="D41" s="48"/>
      <c r="E41" s="48"/>
      <c r="F41" s="99"/>
      <c r="G41" s="100"/>
      <c r="H41" s="136"/>
      <c r="I41" s="137"/>
      <c r="J41" s="136"/>
      <c r="K41" s="49"/>
      <c r="M41" s="102"/>
    </row>
    <row r="42" s="38" customFormat="1" customHeight="1" spans="2:13">
      <c r="B42" s="93"/>
      <c r="C42" s="94">
        <v>0</v>
      </c>
      <c r="D42" s="48"/>
      <c r="E42" s="48"/>
      <c r="F42" s="99"/>
      <c r="G42" s="100"/>
      <c r="H42" s="136"/>
      <c r="I42" s="137"/>
      <c r="J42" s="136"/>
      <c r="K42" s="49"/>
      <c r="M42" s="102"/>
    </row>
    <row r="43" s="38" customFormat="1" customHeight="1" spans="2:13">
      <c r="B43" s="93"/>
      <c r="C43" s="94">
        <v>0</v>
      </c>
      <c r="D43" s="48"/>
      <c r="E43" s="48"/>
      <c r="F43" s="99"/>
      <c r="G43" s="100"/>
      <c r="H43" s="136"/>
      <c r="I43" s="137"/>
      <c r="J43" s="136"/>
      <c r="K43" s="49"/>
      <c r="M43" s="102"/>
    </row>
    <row r="44" s="38" customFormat="1" customHeight="1" spans="2:13">
      <c r="B44" s="93"/>
      <c r="C44" s="94">
        <v>0</v>
      </c>
      <c r="D44" s="48"/>
      <c r="E44" s="48"/>
      <c r="F44" s="99"/>
      <c r="G44" s="100"/>
      <c r="H44" s="136"/>
      <c r="I44" s="137"/>
      <c r="J44" s="136"/>
      <c r="K44" s="49"/>
      <c r="M44" s="102"/>
    </row>
    <row r="45" s="38" customFormat="1" customHeight="1" spans="2:13">
      <c r="B45" s="93"/>
      <c r="C45" s="94">
        <v>0</v>
      </c>
      <c r="D45" s="48"/>
      <c r="E45" s="48"/>
      <c r="F45" s="99"/>
      <c r="G45" s="100"/>
      <c r="H45" s="136"/>
      <c r="I45" s="137"/>
      <c r="J45" s="136"/>
      <c r="K45" s="49"/>
      <c r="M45" s="102"/>
    </row>
    <row r="46" s="38" customFormat="1" customHeight="1" spans="2:13">
      <c r="B46" s="93"/>
      <c r="C46" s="94">
        <v>0</v>
      </c>
      <c r="D46" s="48"/>
      <c r="E46" s="48"/>
      <c r="F46" s="99"/>
      <c r="G46" s="100"/>
      <c r="H46" s="136"/>
      <c r="I46" s="137"/>
      <c r="J46" s="136"/>
      <c r="K46" s="49"/>
      <c r="M46" s="102"/>
    </row>
    <row r="47" s="38" customFormat="1" customHeight="1" spans="2:13">
      <c r="B47" s="93"/>
      <c r="C47" s="94">
        <v>0</v>
      </c>
      <c r="D47" s="48"/>
      <c r="E47" s="48"/>
      <c r="F47" s="99"/>
      <c r="G47" s="100"/>
      <c r="H47" s="139"/>
      <c r="I47" s="137"/>
      <c r="J47" s="139"/>
      <c r="K47" s="49"/>
      <c r="M47" s="102"/>
    </row>
    <row r="48" s="38" customFormat="1" ht="13.5" spans="2:13">
      <c r="B48" s="93"/>
      <c r="C48" s="105" t="s">
        <v>276</v>
      </c>
      <c r="D48" s="106"/>
      <c r="E48" s="107"/>
      <c r="F48" s="107"/>
      <c r="G48" s="107"/>
      <c r="H48" s="107"/>
      <c r="I48" s="107"/>
      <c r="J48" s="108"/>
      <c r="K48" s="49"/>
    </row>
    <row r="49" s="38" customFormat="1" ht="3.75" customHeight="1" spans="1:17">
      <c r="B49" s="109"/>
      <c r="C49" s="48">
        <v>0</v>
      </c>
      <c r="D49" s="48"/>
      <c r="E49" s="48"/>
      <c r="F49" s="48"/>
      <c r="G49" s="48"/>
      <c r="H49" s="48"/>
      <c r="I49" s="48"/>
      <c r="J49" s="48"/>
      <c r="K49" s="49"/>
    </row>
    <row r="50" s="38" customFormat="1" ht="10.5" customHeight="1" spans="1:17">
      <c r="B50" s="109"/>
      <c r="C50" s="48"/>
      <c r="D50" s="48"/>
      <c r="E50" s="48"/>
      <c r="F50" s="48"/>
      <c r="G50" s="48"/>
      <c r="H50" s="110"/>
      <c r="I50" s="110"/>
      <c r="J50" s="110"/>
      <c r="K50" s="49"/>
      <c r="L50" s="111"/>
      <c r="M50" s="111"/>
    </row>
    <row r="51" s="38" customFormat="1" ht="13.5" spans="1:17">
      <c r="B51" s="46"/>
      <c r="C51" s="112" t="s">
        <v>285</v>
      </c>
      <c r="D51" s="113"/>
      <c r="E51" s="48"/>
      <c r="G51" s="114" t="s">
        <v>278</v>
      </c>
      <c r="H51" s="110">
        <f>SUBTOTAL(9,H19:H28)</f>
        <v>0</v>
      </c>
      <c r="I51" s="110">
        <f>SUBTOTAL(9,I19:I28)</f>
        <v>0</v>
      </c>
      <c r="J51" s="110">
        <f>SUBTOTAL(9,J19:J28)</f>
        <v>0</v>
      </c>
      <c r="K51" s="49"/>
      <c r="L51" s="38" t="s">
        <v>286</v>
      </c>
    </row>
    <row r="52" s="38" customFormat="1" ht="13.5" spans="1:17">
      <c r="B52" s="46"/>
      <c r="C52" s="115"/>
      <c r="D52" s="48"/>
      <c r="E52" s="116"/>
      <c r="F52" s="116"/>
      <c r="G52" s="116"/>
      <c r="H52" s="116"/>
      <c r="I52" s="114" t="s">
        <v>279</v>
      </c>
      <c r="J52" s="110">
        <f>+$H$51+$J$51-$I$51</f>
        <v>0</v>
      </c>
      <c r="K52" s="49"/>
      <c r="L52" s="110">
        <f>SUBTOTAL(9,H19)-SUBTOTAL(9,I20:I27)+SUBTOTAL(9,J19:J27)</f>
        <v>0</v>
      </c>
    </row>
    <row r="53" s="38" customFormat="1" ht="24.75" customHeight="1" spans="1:17">
      <c r="B53" s="46"/>
      <c r="C53" s="117"/>
      <c r="D53" s="118"/>
      <c r="E53" s="119" t="s">
        <v>280</v>
      </c>
      <c r="F53" s="120"/>
      <c r="G53" s="120"/>
      <c r="H53" s="121" t="s">
        <v>287</v>
      </c>
      <c r="I53" s="122"/>
      <c r="J53" s="123"/>
      <c r="K53" s="124"/>
    </row>
    <row r="54" s="38" customFormat="1" ht="33" customHeight="1" spans="1:17">
      <c r="B54" s="46"/>
      <c r="C54" s="125"/>
      <c r="D54" s="48"/>
      <c r="E54" s="126" t="s">
        <v>282</v>
      </c>
      <c r="F54" s="127"/>
      <c r="G54" s="127"/>
      <c r="H54" s="127"/>
      <c r="I54" s="127"/>
      <c r="J54" s="128"/>
      <c r="K54" s="49"/>
    </row>
    <row r="55" s="38" customFormat="1" ht="9.75" customHeight="1" spans="1:17">
      <c r="B55" s="54"/>
      <c r="C55" s="55"/>
      <c r="D55" s="55"/>
      <c r="E55" s="129"/>
      <c r="F55" s="129"/>
      <c r="G55" s="129"/>
      <c r="H55" s="129"/>
      <c r="I55" s="129"/>
      <c r="J55" s="129"/>
      <c r="K55" s="56"/>
      <c r="M55" s="48"/>
      <c r="N55" s="48"/>
      <c r="O55" s="48"/>
      <c r="P55" s="48"/>
    </row>
    <row r="56" s="38" customFormat="1" ht="14.25" customHeight="1" spans="1:17">
      <c r="A56" s="48"/>
      <c r="B56" s="48"/>
      <c r="C56" s="48"/>
      <c r="D56" s="48"/>
      <c r="E56" s="48"/>
      <c r="F56" s="48"/>
      <c r="G56" s="48"/>
      <c r="H56" s="48"/>
      <c r="I56" s="130"/>
      <c r="J56" s="130"/>
      <c r="K56" s="48"/>
      <c r="L56" s="48"/>
      <c r="M56" s="48"/>
      <c r="N56" s="48"/>
      <c r="O56" s="48"/>
      <c r="P56" s="48"/>
    </row>
    <row r="57" customFormat="1" customHeight="1" spans="1:17">
      <c r="A57" s="131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38"/>
      <c r="M57" s="132"/>
      <c r="N57" s="132"/>
      <c r="O57" s="132"/>
      <c r="P57" s="132"/>
    </row>
    <row r="58" spans="1:17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M58" s="134"/>
      <c r="N58" s="135"/>
      <c r="O58" s="135"/>
      <c r="P58" s="135"/>
      <c r="Q58" s="135"/>
    </row>
    <row r="59" spans="1:17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M59" s="133"/>
    </row>
    <row r="60" ht="5.25" customHeight="1" spans="1:17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M60" s="133"/>
    </row>
    <row r="61" ht="6" customHeight="1" spans="1:17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M61" s="133"/>
    </row>
    <row r="62" ht="27" customHeight="1" spans="1:17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M62" s="133"/>
    </row>
    <row r="63" ht="13.5" customHeight="1" spans="1:17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M63" s="133"/>
    </row>
    <row r="64" ht="5.25" customHeight="1" spans="1:17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M64" s="133"/>
    </row>
    <row r="65" ht="25.5" customHeight="1" spans="1:13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M65" s="133"/>
    </row>
    <row r="66" ht="13.5" customHeight="1"/>
    <row r="67" ht="5.25" customHeight="1"/>
    <row r="68" ht="15" customHeight="1"/>
    <row r="69" ht="13.5" customHeight="1"/>
    <row r="70" ht="5.25" customHeight="1"/>
    <row r="71" ht="27.75" customHeight="1"/>
    <row r="103" customHeight="1"/>
    <row r="104" customHeight="1"/>
    <row r="105" customHeight="1"/>
    <row r="106" customHeight="1"/>
    <row r="107" customHeight="1"/>
    <row r="109" ht="3.75" customHeight="1"/>
    <row r="112" ht="54" customHeight="1"/>
    <row r="113" ht="9.75" customHeight="1"/>
  </sheetData>
  <sheetProtection sheet="1" objects="1" scenarios="1"/>
  <autoFilter xmlns:etc="http://www.wps.cn/officeDocument/2017/etCustomData" ref="C18:J49" etc:filterBottomFollowUsedRange="0">
    <filterColumn colId="0">
      <customFilters>
        <customFilter operator="notEqual" val=""/>
      </customFilters>
    </filterColumn>
    <extLst/>
  </autoFilter>
  <mergeCells count="21">
    <mergeCell ref="B2:H2"/>
    <mergeCell ref="I5:J5"/>
    <mergeCell ref="C9:E9"/>
    <mergeCell ref="C10:E10"/>
    <mergeCell ref="D12:G12"/>
    <mergeCell ref="I12:J12"/>
    <mergeCell ref="D13:G13"/>
    <mergeCell ref="I13:J13"/>
    <mergeCell ref="C15:D15"/>
    <mergeCell ref="E15:G15"/>
    <mergeCell ref="I15:J15"/>
    <mergeCell ref="C16:D16"/>
    <mergeCell ref="E16:G16"/>
    <mergeCell ref="I16:J16"/>
    <mergeCell ref="C18:E18"/>
    <mergeCell ref="D48:J48"/>
    <mergeCell ref="E53:G53"/>
    <mergeCell ref="H53:J53"/>
    <mergeCell ref="E54:J54"/>
    <mergeCell ref="B19:B48"/>
    <mergeCell ref="C52:C54"/>
  </mergeCells>
  <conditionalFormatting sqref="C16:D16">
    <cfRule type="expression" dxfId="1" priority="5" stopIfTrue="1">
      <formula>$C$16=0</formula>
    </cfRule>
  </conditionalFormatting>
  <conditionalFormatting sqref="E16:G16">
    <cfRule type="expression" dxfId="1" priority="4" stopIfTrue="1">
      <formula>$E$16=0</formula>
    </cfRule>
  </conditionalFormatting>
  <conditionalFormatting sqref="D48:J48">
    <cfRule type="expression" dxfId="2" priority="7" stopIfTrue="1">
      <formula>$D$48&lt;&gt;""</formula>
    </cfRule>
  </conditionalFormatting>
  <conditionalFormatting sqref="H53:J53">
    <cfRule type="expression" dxfId="3" priority="6" stopIfTrue="1">
      <formula>$H$53&lt;&gt;""</formula>
    </cfRule>
  </conditionalFormatting>
  <conditionalFormatting sqref="L52;H50:J51;J52;C19:C48;I16:J16;I13:J13;G19:G47;I19:I47;C10:J10">
    <cfRule type="expression" dxfId="1" priority="1" stopIfTrue="1">
      <formula>C10=0</formula>
    </cfRule>
  </conditionalFormatting>
  <conditionalFormatting sqref="C13:H13;H16">
    <cfRule type="expression" dxfId="2" priority="3" stopIfTrue="1">
      <formula>C13&lt;&gt;""</formula>
    </cfRule>
  </conditionalFormatting>
  <conditionalFormatting sqref="J47;H19:H47;F19:F47;J19:J27">
    <cfRule type="expression" dxfId="0" priority="2" stopIfTrue="1">
      <formula>F19=0</formula>
    </cfRule>
  </conditionalFormatting>
  <dataValidations count="2">
    <dataValidation type="list" showInputMessage="1" showErrorMessage="1" sqref="I5:J5">
      <formula1>"Original para el Empleado;Duplicado del Empleador"</formula1>
    </dataValidation>
    <dataValidation type="list" showInputMessage="1" showErrorMessage="1" errorTitle="Número de Legajo Erroneo" error="El número de legajo que desea ingresar es inexistente. Consulte la hoja &quot;Datos Empleados&quot;." sqref="J6">
      <formula1>ListaLegajo</formula1>
    </dataValidation>
  </dataValidations>
  <printOptions horizontalCentered="1" verticalCentered="1"/>
  <pageMargins left="0.75" right="0.75" top="1" bottom="1" header="0" footer="0"/>
  <pageSetup paperSize="9" scale="80" orientation="portrait" horizontalDpi="300" verticalDpi="300"/>
  <headerFooter alignWithMargins="0"/>
  <rowBreaks count="1" manualBreakCount="1">
    <brk id="55" max="10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Hoja11"/>
  <dimension ref="A1:IU117"/>
  <sheetViews>
    <sheetView showGridLines="0" zoomScaleSheetLayoutView="60" topLeftCell="E1" workbookViewId="0">
      <selection activeCell="N21" sqref="N21"/>
    </sheetView>
  </sheetViews>
  <sheetFormatPr defaultColWidth="11.4285714285714" defaultRowHeight="12.75"/>
  <cols>
    <col min="1" max="1" width="1.57142857142857" style="39" customWidth="1"/>
    <col min="2" max="2" width="1.71428571428571" style="39" customWidth="1"/>
    <col min="3" max="3" width="17.7142857142857" style="39" customWidth="1"/>
    <col min="4" max="4" width="1.28571428571429" style="39" customWidth="1"/>
    <col min="5" max="5" width="10.2857142857143" style="39" customWidth="1"/>
    <col min="6" max="6" width="11.8571428571429" style="39" customWidth="1"/>
    <col min="7" max="7" width="14.4285714285714" style="39" customWidth="1"/>
    <col min="8" max="8" width="16.4285714285714" style="39" customWidth="1"/>
    <col min="9" max="9" width="12.8571428571429" style="39" customWidth="1"/>
    <col min="10" max="10" width="15.2857142857143" style="39" customWidth="1"/>
    <col min="11" max="11" width="1.71428571428571" style="39" customWidth="1"/>
    <col min="12" max="12" width="8.28571428571429" style="38" hidden="1" customWidth="1"/>
    <col min="13" max="16384" width="11.4285714285714" style="39"/>
  </cols>
  <sheetData>
    <row r="1" s="18" customFormat="1" ht="6" customHeight="1" spans="1:255">
      <c r="A1" s="23"/>
      <c r="B1" s="23"/>
      <c r="C1" s="23"/>
      <c r="D1" s="24"/>
      <c r="E1" s="23"/>
      <c r="F1" s="24"/>
      <c r="G1" s="23"/>
      <c r="H1" s="24"/>
      <c r="I1" s="23"/>
      <c r="J1" s="24"/>
      <c r="K1" s="23"/>
      <c r="L1" s="23"/>
      <c r="M1" s="24"/>
      <c r="N1" s="23"/>
      <c r="O1" s="24"/>
      <c r="P1" s="23"/>
      <c r="Q1" s="24"/>
      <c r="R1" s="23"/>
      <c r="S1" s="24"/>
      <c r="T1" s="23"/>
      <c r="U1" s="24"/>
      <c r="V1" s="23"/>
      <c r="W1" s="24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5"/>
      <c r="AJ1" s="25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</row>
    <row r="2" s="19" customFormat="1" ht="21.75" customHeight="1" spans="1:255">
      <c r="B2" s="26" t="s">
        <v>288</v>
      </c>
      <c r="C2" s="26"/>
      <c r="D2" s="26"/>
      <c r="E2" s="26"/>
      <c r="F2" s="26"/>
      <c r="G2" s="26"/>
      <c r="H2" s="26"/>
    </row>
    <row r="3" s="37" customFormat="1" ht="21.75" customHeight="1" spans="1:255">
      <c r="B3" s="40"/>
      <c r="C3" s="40"/>
      <c r="D3" s="40"/>
      <c r="E3" s="40"/>
      <c r="F3" s="40"/>
      <c r="G3" s="41"/>
      <c r="H3" s="40"/>
    </row>
    <row r="4" s="38" customFormat="1" ht="5.25" customHeight="1" spans="1:255">
      <c r="B4" s="42"/>
      <c r="C4" s="43"/>
      <c r="D4" s="43"/>
      <c r="E4" s="43"/>
      <c r="F4" s="43"/>
      <c r="G4" s="43"/>
      <c r="H4" s="44"/>
      <c r="I4" s="42"/>
      <c r="J4" s="45"/>
      <c r="K4" s="44"/>
    </row>
    <row r="5" s="38" customFormat="1" spans="1:255">
      <c r="B5" s="46"/>
      <c r="C5" s="47" t="str">
        <f>IF(OR(Empleador!D6="",J6=""),"",Empleador!D6)</f>
        <v>CARETTA MARIA DEL CARMEN</v>
      </c>
      <c r="D5" s="48"/>
      <c r="E5" s="48"/>
      <c r="F5" s="48" t="str">
        <f>IF(OR(Empleador!D8="",J6=""),"",Empleador!D8)</f>
        <v>CMTE RODRIGUEZ Nº 147</v>
      </c>
      <c r="H5" s="49"/>
      <c r="I5" s="50" t="s">
        <v>284</v>
      </c>
      <c r="J5" s="51"/>
      <c r="K5" s="49"/>
    </row>
    <row r="6" s="38" customFormat="1" spans="1:255">
      <c r="B6" s="46"/>
      <c r="C6" s="48" t="str">
        <f>IF(J6="","","CUIT: "&amp;Empleador!D7)</f>
        <v>CUIT: 27202918684</v>
      </c>
      <c r="D6" s="48"/>
      <c r="E6" s="48"/>
      <c r="F6" s="48" t="str">
        <f>IF(OR(Empleador!D9="",Empleador!D10="",J6="")=TRUE,"",Empleador!D9&amp;"; "&amp;Empleador!D10)</f>
        <v>MALARGUE; Mendoza</v>
      </c>
      <c r="H6" s="49"/>
      <c r="I6" s="52" t="s">
        <v>258</v>
      </c>
      <c r="J6" s="53">
        <v>1</v>
      </c>
      <c r="K6" s="49"/>
    </row>
    <row r="7" s="38" customFormat="1" ht="5.25" customHeight="1" spans="1:255">
      <c r="B7" s="54"/>
      <c r="C7" s="55"/>
      <c r="D7" s="55"/>
      <c r="E7" s="55"/>
      <c r="F7" s="55"/>
      <c r="G7" s="55"/>
      <c r="H7" s="56"/>
      <c r="I7" s="54"/>
      <c r="J7" s="55"/>
      <c r="K7" s="56"/>
    </row>
    <row r="8" s="38" customFormat="1" ht="6" customHeight="1" spans="1:255">
      <c r="B8" s="42"/>
      <c r="C8" s="43"/>
      <c r="D8" s="43"/>
      <c r="E8" s="43"/>
      <c r="F8" s="43"/>
      <c r="G8" s="43"/>
      <c r="H8" s="43"/>
      <c r="I8" s="43"/>
      <c r="J8" s="43"/>
      <c r="K8" s="44"/>
    </row>
    <row r="9" s="38" customFormat="1" ht="27" customHeight="1" spans="1:255">
      <c r="B9" s="46"/>
      <c r="C9" s="57" t="s">
        <v>259</v>
      </c>
      <c r="D9" s="58"/>
      <c r="E9" s="59"/>
      <c r="F9" s="60" t="s">
        <v>168</v>
      </c>
      <c r="G9" s="60" t="s">
        <v>170</v>
      </c>
      <c r="H9" s="60" t="s">
        <v>260</v>
      </c>
      <c r="I9" s="60" t="s">
        <v>3</v>
      </c>
      <c r="J9" s="61" t="s">
        <v>261</v>
      </c>
      <c r="K9" s="62"/>
    </row>
    <row r="10" s="38" customFormat="1" ht="13.5" customHeight="1" spans="1:255">
      <c r="B10" s="46"/>
      <c r="C10" s="63" t="str">
        <f>IF(J6="","",VLOOKUP(J6,TablaEmpleados,3,FALSE))</f>
        <v>ARANIBAR CLAUDIA CRISTINA</v>
      </c>
      <c r="D10" s="64"/>
      <c r="E10" s="64"/>
      <c r="F10" s="65">
        <f>IF($J$6="","",VLOOKUP($J$6,TablaEmpleados,2,FALSE))</f>
        <v>40848</v>
      </c>
      <c r="G10" s="66" t="str">
        <f>IF($J$6="","",VLOOKUP($J$6,TablaEmpleados,4,FALSE))</f>
        <v>27-23067512-6</v>
      </c>
      <c r="H10" s="66">
        <f>IF($J$6="","",VLOOKUP($J$6,TablaEmpleados,11,FALSE))</f>
        <v>0</v>
      </c>
      <c r="I10" s="66" t="str">
        <f>IF($J$6="","",VLOOKUP($J$6,TablaEmpleados,14,FALSE))</f>
        <v>SIPA</v>
      </c>
      <c r="J10" s="67" t="str">
        <f>IF($J$6="","",VLOOKUP($J$6,TablaRemuneracion,3,FALSE))</f>
        <v>|</v>
      </c>
      <c r="K10" s="62"/>
    </row>
    <row r="11" s="38" customFormat="1" ht="5.25" customHeight="1" spans="1:255">
      <c r="B11" s="46"/>
      <c r="C11" s="68"/>
      <c r="D11" s="68"/>
      <c r="E11" s="68"/>
      <c r="F11" s="68"/>
      <c r="G11" s="68"/>
      <c r="H11" s="68"/>
      <c r="I11" s="68"/>
      <c r="J11" s="68"/>
      <c r="K11" s="49"/>
    </row>
    <row r="12" s="38" customFormat="1" ht="25.5" customHeight="1" spans="1:255">
      <c r="B12" s="62"/>
      <c r="C12" s="69" t="s">
        <v>262</v>
      </c>
      <c r="D12" s="61" t="s">
        <v>263</v>
      </c>
      <c r="E12" s="70"/>
      <c r="F12" s="70"/>
      <c r="G12" s="69"/>
      <c r="H12" s="71" t="s">
        <v>264</v>
      </c>
      <c r="I12" s="72" t="s">
        <v>177</v>
      </c>
      <c r="J12" s="73"/>
      <c r="K12" s="49"/>
    </row>
    <row r="13" s="38" customFormat="1" ht="13.5" customHeight="1" spans="1:255">
      <c r="B13" s="62"/>
      <c r="C13" s="74"/>
      <c r="D13" s="75"/>
      <c r="E13" s="75"/>
      <c r="F13" s="75"/>
      <c r="G13" s="75"/>
      <c r="H13" s="76"/>
      <c r="I13" s="77" t="str">
        <f>IF($J$6="","",VLOOKUP($J$6,TablaEmpleados,12,FALSE))</f>
        <v>VENDEDOR</v>
      </c>
      <c r="J13" s="78"/>
      <c r="K13" s="49"/>
    </row>
    <row r="14" s="38" customFormat="1" ht="5.25" customHeight="1" spans="1:255">
      <c r="B14" s="46"/>
      <c r="C14" s="79"/>
      <c r="D14" s="79"/>
      <c r="E14" s="79"/>
      <c r="F14" s="79"/>
      <c r="G14" s="79"/>
      <c r="H14" s="79"/>
      <c r="I14" s="79"/>
      <c r="J14" s="79"/>
      <c r="K14" s="49"/>
    </row>
    <row r="15" s="38" customFormat="1" ht="15" customHeight="1" spans="1:255">
      <c r="B15" s="46"/>
      <c r="C15" s="80" t="s">
        <v>266</v>
      </c>
      <c r="D15" s="81"/>
      <c r="E15" s="81" t="s">
        <v>267</v>
      </c>
      <c r="F15" s="81"/>
      <c r="G15" s="81"/>
      <c r="H15" s="81" t="s">
        <v>268</v>
      </c>
      <c r="I15" s="81" t="s">
        <v>269</v>
      </c>
      <c r="J15" s="82"/>
      <c r="K15" s="49"/>
    </row>
    <row r="16" s="38" customFormat="1" ht="13.5" spans="1:255">
      <c r="B16" s="46"/>
      <c r="C16" s="83">
        <f>IF(J6="","",Remuneración!C4)</f>
        <v>41000</v>
      </c>
      <c r="D16" s="84"/>
      <c r="E16" s="84" t="str">
        <f>IF(J6="","",Empleador!D12)</f>
        <v>Malargue, Mza</v>
      </c>
      <c r="F16" s="84"/>
      <c r="G16" s="84"/>
      <c r="H16" s="85">
        <v>40578</v>
      </c>
      <c r="I16" s="86" t="str">
        <f>IF($J$6="","",VLOOKUP($J$6,TablaEmpleados,13,FALSE))</f>
        <v>Categ. B</v>
      </c>
      <c r="J16" s="87"/>
      <c r="K16" s="62"/>
    </row>
    <row r="17" s="38" customFormat="1" ht="5.25" customHeight="1" spans="2:13">
      <c r="B17" s="46"/>
      <c r="C17" s="79"/>
      <c r="D17" s="79"/>
      <c r="E17" s="79"/>
      <c r="F17" s="79"/>
      <c r="G17" s="79"/>
      <c r="H17" s="79"/>
      <c r="I17" s="79"/>
      <c r="J17" s="79"/>
      <c r="K17" s="49"/>
    </row>
    <row r="18" s="38" customFormat="1" ht="26.25" customHeight="1" spans="2:13">
      <c r="B18" s="46"/>
      <c r="C18" s="88" t="s">
        <v>270</v>
      </c>
      <c r="D18" s="89"/>
      <c r="E18" s="90"/>
      <c r="F18" s="91" t="s">
        <v>271</v>
      </c>
      <c r="G18" s="91" t="s">
        <v>82</v>
      </c>
      <c r="H18" s="91" t="s">
        <v>272</v>
      </c>
      <c r="I18" s="91" t="s">
        <v>273</v>
      </c>
      <c r="J18" s="92" t="s">
        <v>274</v>
      </c>
      <c r="K18" s="49"/>
    </row>
    <row r="19" s="38" customFormat="1" spans="2:13">
      <c r="B19" s="93" t="s">
        <v>275</v>
      </c>
      <c r="C19" s="94" t="str">
        <f>IF($J$6="","",IF(VLOOKUP($J$6,TablaRemuneracion,39,FALSE)&lt;&gt;"",Remuneración!AN7,""))</f>
        <v/>
      </c>
      <c r="D19" s="48"/>
      <c r="E19" s="48"/>
      <c r="F19" s="95">
        <f>IF($J$6="",0,IF(C19="",0,VLOOKUP($J$6,TablaRemuneracion,38,FALSE)))</f>
        <v>0</v>
      </c>
      <c r="G19" s="96"/>
      <c r="H19" s="97">
        <f>IF($J$6="",0,IF(C19="",0,VLOOKUP($J$6,TablaRemuneracion,39,FALSE)))</f>
        <v>0</v>
      </c>
      <c r="I19" s="98"/>
      <c r="J19" s="97"/>
      <c r="K19" s="49"/>
    </row>
    <row r="20" s="38" customFormat="1" spans="2:13">
      <c r="B20" s="93"/>
      <c r="C20" s="94" t="str">
        <f>IF($J$6="","",IF(C19="","",IF(VLOOKUP($J$6,TablaNoRemunerativo,3,FALSE)&lt;&gt;"",'Ret. y no Rem.'!D5,"")))</f>
        <v/>
      </c>
      <c r="D20" s="48"/>
      <c r="E20" s="48"/>
      <c r="F20" s="99"/>
      <c r="G20" s="100" t="str">
        <f>IF(C20="","",VLOOKUP($J$6,TablaNoRemunerativo,3,FALSE))</f>
        <v/>
      </c>
      <c r="H20" s="97"/>
      <c r="I20" s="101">
        <f>IF(C20="",0,VLOOKUP($J$6,TablaNoRemunerativo,3,FALSE)*H19)</f>
        <v>0</v>
      </c>
      <c r="J20" s="97"/>
      <c r="K20" s="49"/>
      <c r="M20" s="102"/>
    </row>
    <row r="21" s="38" customFormat="1" spans="2:13">
      <c r="B21" s="93"/>
      <c r="C21" s="94" t="str">
        <f>IF($J$6="","",IF(C19="","",IF(VLOOKUP($J$6,TablaNoRemunerativo,5,FALSE)&lt;&gt;"",'Ret. y no Rem.'!F5,"")))</f>
        <v/>
      </c>
      <c r="D21" s="48"/>
      <c r="E21" s="48"/>
      <c r="F21" s="99"/>
      <c r="G21" s="100" t="str">
        <f>IF(C21="","",VLOOKUP($J$6,TablaNoRemunerativo,5,FALSE))</f>
        <v/>
      </c>
      <c r="H21" s="97"/>
      <c r="I21" s="101">
        <f>IF(C21="",0,VLOOKUP($J$6,TablaNoRemunerativo,5,FALSE)*H19)</f>
        <v>0</v>
      </c>
      <c r="J21" s="97"/>
      <c r="K21" s="49"/>
      <c r="M21" s="102"/>
    </row>
    <row r="22" s="38" customFormat="1" spans="2:13">
      <c r="B22" s="93"/>
      <c r="C22" s="94" t="str">
        <f>IF($J$6="","",IF(C19="","",IF(VLOOKUP($J$6,TablaNoRemunerativo,7,FALSE)&lt;&gt;"",'Ret. y no Rem.'!H5,"")))</f>
        <v/>
      </c>
      <c r="D22" s="48"/>
      <c r="E22" s="48"/>
      <c r="F22" s="99"/>
      <c r="G22" s="100" t="str">
        <f>IF(C22="","",VLOOKUP($J$6,TablaNoRemunerativo,7,FALSE))</f>
        <v/>
      </c>
      <c r="H22" s="97"/>
      <c r="I22" s="101">
        <f>IF(C22="",0,VLOOKUP($J$6,TablaNoRemunerativo,7,FALSE)*H19)</f>
        <v>0</v>
      </c>
      <c r="J22" s="97"/>
      <c r="K22" s="49"/>
      <c r="M22" s="102"/>
    </row>
    <row r="23" s="38" customFormat="1" hidden="1" spans="2:13">
      <c r="B23" s="93"/>
      <c r="C23" s="94" t="str">
        <f>IF($J$6="","",IF(C19="","",IF(VLOOKUP($J$6,TablaNoRemunerativo,9,FALSE)&lt;&gt;"",'Ret. y no Rem.'!J5,"")))</f>
        <v/>
      </c>
      <c r="D23" s="48"/>
      <c r="E23" s="48"/>
      <c r="F23" s="103"/>
      <c r="G23" s="100" t="str">
        <f>IF(C23="","",VLOOKUP($J$6,TablaNoRemunerativo,9,FALSE))</f>
        <v/>
      </c>
      <c r="H23" s="104"/>
      <c r="I23" s="101">
        <f>IF(C23="",0,VLOOKUP($J$6,TablaNoRemunerativo,9,FALSE)*H19)</f>
        <v>0</v>
      </c>
      <c r="J23" s="104"/>
      <c r="K23" s="49"/>
      <c r="M23" s="102"/>
    </row>
    <row r="24" s="38" customFormat="1" hidden="1" spans="2:13">
      <c r="B24" s="93"/>
      <c r="C24" s="94" t="str">
        <f>IF($J$6="","",IF(C19="","",IF(VLOOKUP($J$6,TablaNoRemunerativo,11,FALSE)&lt;&gt;"",'Ret. y no Rem.'!L5,"")))</f>
        <v/>
      </c>
      <c r="D24" s="48"/>
      <c r="E24" s="48"/>
      <c r="F24" s="99"/>
      <c r="G24" s="100" t="str">
        <f>IF(C24="","",VLOOKUP($J$6,TablaNoRemunerativo,11,FALSE))</f>
        <v/>
      </c>
      <c r="H24" s="97"/>
      <c r="I24" s="101">
        <f>IF(C24="",0,VLOOKUP($J$6,TablaNoRemunerativo,11,FALSE)*H19)</f>
        <v>0</v>
      </c>
      <c r="J24" s="97"/>
      <c r="K24" s="49"/>
      <c r="M24" s="102"/>
    </row>
    <row r="25" s="38" customFormat="1" spans="2:13">
      <c r="B25" s="93"/>
      <c r="C25" s="94" t="str">
        <f>IF($J$6="","",IF(C19="","",IF(VLOOKUP($J$6,TablaNoRemunerativo,17,FALSE)&lt;&gt;"",'Ret. y no Rem.'!R5,"")))</f>
        <v/>
      </c>
      <c r="D25" s="48"/>
      <c r="E25" s="48"/>
      <c r="F25" s="99"/>
      <c r="G25" s="100" t="str">
        <f>IF(C25="","",VLOOKUP($J$6,TablaNoRemunerativo,17,FALSE))</f>
        <v/>
      </c>
      <c r="H25" s="97"/>
      <c r="I25" s="101">
        <f>IF(C25="",0,VLOOKUP($J$6,TablaNoRemunerativo,17,FALSE)*H19)</f>
        <v>0</v>
      </c>
      <c r="J25" s="97"/>
      <c r="K25" s="49"/>
      <c r="M25" s="102"/>
    </row>
    <row r="26" s="38" customFormat="1" spans="2:13">
      <c r="B26" s="93"/>
      <c r="C26" s="94" t="str">
        <f>IF($J$6="","",IF(C19="","",IF(VLOOKUP($J$6,TablaNoRemunerativo,19,FALSE)&lt;&gt;"",'Ret. y no Rem.'!T5,"")))</f>
        <v/>
      </c>
      <c r="D26" s="48"/>
      <c r="E26" s="48"/>
      <c r="F26" s="99"/>
      <c r="G26" s="100" t="str">
        <f>IF(C26="","",VLOOKUP($J$6,TablaNoRemunerativo,19,FALSE))</f>
        <v/>
      </c>
      <c r="H26" s="97"/>
      <c r="I26" s="101">
        <f>IF(C26="",0,VLOOKUP($J$6,TablaNoRemunerativo,19,FALSE)*H19)</f>
        <v>0</v>
      </c>
      <c r="J26" s="97"/>
      <c r="K26" s="49"/>
      <c r="M26" s="102"/>
    </row>
    <row r="27" s="38" customFormat="1" hidden="1" spans="2:13">
      <c r="B27" s="93"/>
      <c r="C27" s="94" t="str">
        <f>IF($J$6="","",IF(C19="","",IF(VLOOKUP($J$6,TablaNoRemunerativo,21,FALSE)&lt;&gt;"",'Ret. y no Rem.'!V5,"")))</f>
        <v/>
      </c>
      <c r="D27" s="48"/>
      <c r="E27" s="48"/>
      <c r="F27" s="103"/>
      <c r="G27" s="100" t="str">
        <f>IF(C27="","",VLOOKUP($J$6,TablaNoRemunerativo,21,FALSE))</f>
        <v/>
      </c>
      <c r="H27" s="104"/>
      <c r="I27" s="101">
        <f>IF(C27="",0,VLOOKUP($J$6,TablaNoRemunerativo,21,FALSE)*H19)</f>
        <v>0</v>
      </c>
      <c r="J27" s="104"/>
      <c r="K27" s="49"/>
      <c r="M27" s="102"/>
    </row>
    <row r="28" s="38" customFormat="1" hidden="1" spans="2:13">
      <c r="B28" s="93"/>
      <c r="C28" s="94" t="str">
        <f>IF($J$6="","",IF(C19="","",IF(VLOOKUP($J$6,TablaNoRemunerativo,23,FALSE)&lt;&gt;"",'Ret. y no Rem.'!X5,"")))</f>
        <v/>
      </c>
      <c r="D28" s="48"/>
      <c r="E28" s="48"/>
      <c r="F28" s="103"/>
      <c r="G28" s="100" t="str">
        <f>IF(C28="","",VLOOKUP($J$6,TablaNoRemunerativo,23,FALSE))</f>
        <v/>
      </c>
      <c r="H28" s="104"/>
      <c r="I28" s="101">
        <f>IF(C28="",0,VLOOKUP($J$6,TablaNoRemunerativo,23,FALSE)*H19)</f>
        <v>0</v>
      </c>
      <c r="J28" s="104"/>
      <c r="K28" s="49"/>
      <c r="M28" s="102"/>
    </row>
    <row r="29" s="38" customFormat="1" customHeight="1" spans="2:13">
      <c r="B29" s="93"/>
      <c r="C29" s="94" t="str">
        <f>IF($J$6="","",IF(C19="","",IF(VLOOKUP($J$6,TablaNoRemunerativo,37,FALSE)&lt;&gt;"",'Ret. y no Rem.'!AL6,"")))</f>
        <v/>
      </c>
      <c r="D29" s="48"/>
      <c r="E29" s="48"/>
      <c r="F29" s="99"/>
      <c r="G29" s="100"/>
      <c r="H29" s="97"/>
      <c r="I29" s="98"/>
      <c r="J29" s="97" t="str">
        <f>IF(C29="","",ROUNDUP(L56,0)-L56)</f>
        <v/>
      </c>
      <c r="K29" s="49"/>
      <c r="M29" s="102"/>
    </row>
    <row r="30" s="38" customFormat="1" hidden="1" customHeight="1" spans="2:13">
      <c r="B30" s="93"/>
      <c r="C30" s="94">
        <f t="shared" ref="C30:C38" si="0">IF(C20="",0,"")</f>
        <v>0</v>
      </c>
      <c r="D30" s="48"/>
      <c r="E30" s="48"/>
      <c r="F30" s="103"/>
      <c r="G30" s="100"/>
      <c r="H30" s="104"/>
      <c r="I30" s="98"/>
      <c r="J30" s="104"/>
      <c r="K30" s="49"/>
      <c r="M30" s="102"/>
    </row>
    <row r="31" s="38" customFormat="1" hidden="1" customHeight="1" spans="2:13">
      <c r="B31" s="93"/>
      <c r="C31" s="94">
        <f t="shared" si="0"/>
        <v>0</v>
      </c>
      <c r="D31" s="48"/>
      <c r="E31" s="48"/>
      <c r="F31" s="103"/>
      <c r="G31" s="100"/>
      <c r="H31" s="104"/>
      <c r="I31" s="98"/>
      <c r="J31" s="104"/>
      <c r="K31" s="49"/>
      <c r="M31" s="102"/>
    </row>
    <row r="32" s="38" customFormat="1" hidden="1" customHeight="1" spans="2:13">
      <c r="B32" s="93"/>
      <c r="C32" s="94">
        <f t="shared" si="0"/>
        <v>0</v>
      </c>
      <c r="D32" s="48"/>
      <c r="E32" s="48"/>
      <c r="F32" s="103"/>
      <c r="G32" s="100"/>
      <c r="H32" s="104"/>
      <c r="I32" s="98"/>
      <c r="J32" s="104"/>
      <c r="K32" s="49"/>
      <c r="M32" s="102"/>
    </row>
    <row r="33" s="38" customFormat="1" customHeight="1" spans="2:13">
      <c r="B33" s="93"/>
      <c r="C33" s="94">
        <f t="shared" si="0"/>
        <v>0</v>
      </c>
      <c r="D33" s="48"/>
      <c r="E33" s="48"/>
      <c r="F33" s="99"/>
      <c r="G33" s="100"/>
      <c r="H33" s="97"/>
      <c r="I33" s="98"/>
      <c r="J33" s="97"/>
      <c r="K33" s="49"/>
      <c r="M33" s="102"/>
    </row>
    <row r="34" s="38" customFormat="1" customHeight="1" spans="2:13">
      <c r="B34" s="93"/>
      <c r="C34" s="94">
        <f t="shared" si="0"/>
        <v>0</v>
      </c>
      <c r="D34" s="48"/>
      <c r="E34" s="48"/>
      <c r="F34" s="99"/>
      <c r="G34" s="100"/>
      <c r="H34" s="97"/>
      <c r="I34" s="98"/>
      <c r="J34" s="97"/>
      <c r="K34" s="49"/>
      <c r="M34" s="102"/>
    </row>
    <row r="35" s="38" customFormat="1" hidden="1" customHeight="1" spans="2:13">
      <c r="B35" s="93"/>
      <c r="C35" s="94">
        <f t="shared" si="0"/>
        <v>0</v>
      </c>
      <c r="D35" s="48"/>
      <c r="E35" s="48"/>
      <c r="F35" s="103"/>
      <c r="G35" s="100"/>
      <c r="H35" s="104"/>
      <c r="I35" s="98"/>
      <c r="J35" s="104"/>
      <c r="K35" s="49"/>
      <c r="M35" s="102"/>
    </row>
    <row r="36" s="38" customFormat="1" hidden="1" customHeight="1" spans="2:13">
      <c r="B36" s="93"/>
      <c r="C36" s="94">
        <f t="shared" si="0"/>
        <v>0</v>
      </c>
      <c r="D36" s="48"/>
      <c r="E36" s="48"/>
      <c r="F36" s="99"/>
      <c r="G36" s="100"/>
      <c r="H36" s="97"/>
      <c r="I36" s="98"/>
      <c r="J36" s="97"/>
      <c r="K36" s="49"/>
      <c r="M36" s="102"/>
    </row>
    <row r="37" s="38" customFormat="1" customHeight="1" spans="2:13">
      <c r="B37" s="93"/>
      <c r="C37" s="94">
        <f t="shared" si="0"/>
        <v>0</v>
      </c>
      <c r="D37" s="48"/>
      <c r="E37" s="48"/>
      <c r="F37" s="99"/>
      <c r="G37" s="100"/>
      <c r="H37" s="97"/>
      <c r="I37" s="98"/>
      <c r="J37" s="97"/>
      <c r="K37" s="49"/>
      <c r="M37" s="102"/>
    </row>
    <row r="38" s="38" customFormat="1" customHeight="1" spans="2:13">
      <c r="B38" s="93"/>
      <c r="C38" s="94">
        <f t="shared" si="0"/>
        <v>0</v>
      </c>
      <c r="D38" s="48"/>
      <c r="E38" s="48"/>
      <c r="F38" s="99"/>
      <c r="G38" s="100"/>
      <c r="H38" s="97"/>
      <c r="I38" s="98"/>
      <c r="J38" s="97"/>
      <c r="K38" s="49"/>
      <c r="M38" s="102"/>
    </row>
    <row r="39" s="38" customFormat="1" customHeight="1" spans="2:13">
      <c r="B39" s="93"/>
      <c r="C39" s="94">
        <v>0</v>
      </c>
      <c r="D39" s="48"/>
      <c r="E39" s="48"/>
      <c r="F39" s="99"/>
      <c r="G39" s="100"/>
      <c r="H39" s="97"/>
      <c r="I39" s="98"/>
      <c r="J39" s="97"/>
      <c r="K39" s="49"/>
      <c r="M39" s="102"/>
    </row>
    <row r="40" s="38" customFormat="1" customHeight="1" spans="2:13">
      <c r="B40" s="93"/>
      <c r="C40" s="94">
        <v>0</v>
      </c>
      <c r="D40" s="48"/>
      <c r="E40" s="48"/>
      <c r="F40" s="99"/>
      <c r="G40" s="100"/>
      <c r="H40" s="97"/>
      <c r="I40" s="98"/>
      <c r="J40" s="97"/>
      <c r="K40" s="49"/>
      <c r="M40" s="102"/>
    </row>
    <row r="41" s="38" customFormat="1" customHeight="1" spans="2:13">
      <c r="B41" s="93"/>
      <c r="C41" s="94">
        <v>0</v>
      </c>
      <c r="D41" s="48"/>
      <c r="E41" s="48"/>
      <c r="F41" s="99"/>
      <c r="G41" s="100"/>
      <c r="H41" s="97"/>
      <c r="I41" s="98"/>
      <c r="J41" s="97"/>
      <c r="K41" s="49"/>
      <c r="M41" s="102"/>
    </row>
    <row r="42" s="38" customFormat="1" customHeight="1" spans="2:13">
      <c r="B42" s="93"/>
      <c r="C42" s="94">
        <v>0</v>
      </c>
      <c r="D42" s="48"/>
      <c r="E42" s="48"/>
      <c r="F42" s="99"/>
      <c r="G42" s="100"/>
      <c r="H42" s="97"/>
      <c r="I42" s="98"/>
      <c r="J42" s="97"/>
      <c r="K42" s="49"/>
      <c r="M42" s="102"/>
    </row>
    <row r="43" s="38" customFormat="1" customHeight="1" spans="2:13">
      <c r="B43" s="93"/>
      <c r="C43" s="94">
        <v>0</v>
      </c>
      <c r="D43" s="48"/>
      <c r="E43" s="48"/>
      <c r="F43" s="99"/>
      <c r="G43" s="100"/>
      <c r="H43" s="97"/>
      <c r="I43" s="98"/>
      <c r="J43" s="97"/>
      <c r="K43" s="49"/>
      <c r="M43" s="102"/>
    </row>
    <row r="44" s="38" customFormat="1" customHeight="1" spans="2:13">
      <c r="B44" s="93"/>
      <c r="C44" s="94">
        <v>0</v>
      </c>
      <c r="D44" s="48"/>
      <c r="E44" s="48"/>
      <c r="F44" s="99"/>
      <c r="G44" s="100"/>
      <c r="H44" s="97"/>
      <c r="I44" s="98"/>
      <c r="J44" s="97"/>
      <c r="K44" s="49"/>
      <c r="M44" s="102"/>
    </row>
    <row r="45" s="38" customFormat="1" customHeight="1" spans="2:13">
      <c r="B45" s="93"/>
      <c r="C45" s="94">
        <v>0</v>
      </c>
      <c r="D45" s="48"/>
      <c r="E45" s="48"/>
      <c r="F45" s="99"/>
      <c r="G45" s="100"/>
      <c r="H45" s="97"/>
      <c r="I45" s="98"/>
      <c r="J45" s="97"/>
      <c r="K45" s="49"/>
      <c r="M45" s="102"/>
    </row>
    <row r="46" s="38" customFormat="1" customHeight="1" spans="2:13">
      <c r="B46" s="93"/>
      <c r="C46" s="94">
        <v>0</v>
      </c>
      <c r="D46" s="48"/>
      <c r="E46" s="48"/>
      <c r="F46" s="99"/>
      <c r="G46" s="100"/>
      <c r="H46" s="97"/>
      <c r="I46" s="98"/>
      <c r="J46" s="97"/>
      <c r="K46" s="49"/>
      <c r="M46" s="102"/>
    </row>
    <row r="47" s="38" customFormat="1" customHeight="1" spans="2:13">
      <c r="B47" s="93"/>
      <c r="C47" s="94">
        <v>0</v>
      </c>
      <c r="D47" s="48"/>
      <c r="E47" s="48"/>
      <c r="F47" s="99"/>
      <c r="G47" s="100"/>
      <c r="H47" s="97"/>
      <c r="I47" s="98"/>
      <c r="J47" s="97"/>
      <c r="K47" s="49"/>
      <c r="M47" s="102"/>
    </row>
    <row r="48" s="38" customFormat="1" customHeight="1" spans="2:13">
      <c r="B48" s="93"/>
      <c r="C48" s="94">
        <v>0</v>
      </c>
      <c r="D48" s="48"/>
      <c r="E48" s="48"/>
      <c r="F48" s="99"/>
      <c r="G48" s="100"/>
      <c r="H48" s="97"/>
      <c r="I48" s="98"/>
      <c r="J48" s="97"/>
      <c r="K48" s="49"/>
      <c r="M48" s="102"/>
    </row>
    <row r="49" s="38" customFormat="1" customHeight="1" spans="1:17">
      <c r="B49" s="93"/>
      <c r="C49" s="94">
        <v>0</v>
      </c>
      <c r="D49" s="48"/>
      <c r="E49" s="48"/>
      <c r="F49" s="99"/>
      <c r="G49" s="100"/>
      <c r="H49" s="97"/>
      <c r="I49" s="98"/>
      <c r="J49" s="97"/>
      <c r="K49" s="49"/>
      <c r="M49" s="102"/>
    </row>
    <row r="50" s="38" customFormat="1" customHeight="1" spans="1:17">
      <c r="B50" s="93"/>
      <c r="C50" s="94">
        <v>0</v>
      </c>
      <c r="D50" s="48"/>
      <c r="E50" s="48"/>
      <c r="F50" s="99"/>
      <c r="G50" s="100"/>
      <c r="H50" s="97"/>
      <c r="I50" s="98"/>
      <c r="J50" s="97"/>
      <c r="K50" s="49"/>
      <c r="M50" s="102"/>
    </row>
    <row r="51" s="38" customFormat="1" customHeight="1" spans="1:17">
      <c r="B51" s="93"/>
      <c r="C51" s="94">
        <v>0</v>
      </c>
      <c r="D51" s="48"/>
      <c r="E51" s="48"/>
      <c r="F51" s="99"/>
      <c r="G51" s="100"/>
      <c r="H51" s="99"/>
      <c r="I51" s="98"/>
      <c r="J51" s="99"/>
      <c r="K51" s="49"/>
      <c r="M51" s="102"/>
    </row>
    <row r="52" s="38" customFormat="1" ht="13.5" spans="1:17">
      <c r="B52" s="93"/>
      <c r="C52" s="105" t="s">
        <v>276</v>
      </c>
      <c r="D52" s="106"/>
      <c r="E52" s="107"/>
      <c r="F52" s="107"/>
      <c r="G52" s="107"/>
      <c r="H52" s="107"/>
      <c r="I52" s="107"/>
      <c r="J52" s="108"/>
      <c r="K52" s="49"/>
    </row>
    <row r="53" s="38" customFormat="1" ht="3.75" customHeight="1" spans="1:17">
      <c r="B53" s="109"/>
      <c r="C53" s="48">
        <v>0</v>
      </c>
      <c r="D53" s="48"/>
      <c r="E53" s="48"/>
      <c r="F53" s="48"/>
      <c r="G53" s="48"/>
      <c r="H53" s="48"/>
      <c r="I53" s="48"/>
      <c r="J53" s="48"/>
      <c r="K53" s="49"/>
    </row>
    <row r="54" s="38" customFormat="1" ht="10.5" customHeight="1" spans="1:17">
      <c r="B54" s="109"/>
      <c r="C54" s="48"/>
      <c r="D54" s="48"/>
      <c r="E54" s="48"/>
      <c r="F54" s="48"/>
      <c r="G54" s="48"/>
      <c r="H54" s="110"/>
      <c r="I54" s="110"/>
      <c r="J54" s="110"/>
      <c r="K54" s="49"/>
      <c r="L54" s="111"/>
      <c r="M54" s="111"/>
    </row>
    <row r="55" s="38" customFormat="1" ht="13.5" spans="1:17">
      <c r="B55" s="46"/>
      <c r="C55" s="112" t="s">
        <v>285</v>
      </c>
      <c r="D55" s="113"/>
      <c r="E55" s="48"/>
      <c r="G55" s="114" t="s">
        <v>278</v>
      </c>
      <c r="H55" s="110">
        <f>SUBTOTAL(9,H19:H29)</f>
        <v>0</v>
      </c>
      <c r="I55" s="110">
        <f>SUBTOTAL(9,I19:I29)</f>
        <v>0</v>
      </c>
      <c r="J55" s="110">
        <f>SUBTOTAL(9,J19:J29)</f>
        <v>0</v>
      </c>
      <c r="K55" s="49"/>
      <c r="L55" s="38" t="s">
        <v>286</v>
      </c>
    </row>
    <row r="56" s="38" customFormat="1" ht="13.5" spans="1:17">
      <c r="B56" s="46"/>
      <c r="C56" s="115"/>
      <c r="D56" s="48"/>
      <c r="E56" s="116"/>
      <c r="F56" s="116"/>
      <c r="G56" s="116"/>
      <c r="H56" s="116"/>
      <c r="I56" s="114" t="s">
        <v>279</v>
      </c>
      <c r="J56" s="110">
        <f>+$H$55+$J$55-$I$55</f>
        <v>0</v>
      </c>
      <c r="K56" s="49"/>
      <c r="L56" s="110">
        <f>SUBTOTAL(9,H19)-SUBTOTAL(9,I20:I28)+SUBTOTAL(9,J19:J28)</f>
        <v>0</v>
      </c>
    </row>
    <row r="57" s="38" customFormat="1" ht="24.75" customHeight="1" spans="1:17">
      <c r="B57" s="46"/>
      <c r="C57" s="117"/>
      <c r="D57" s="118"/>
      <c r="E57" s="119" t="s">
        <v>280</v>
      </c>
      <c r="F57" s="120"/>
      <c r="G57" s="120"/>
      <c r="H57" s="121" t="s">
        <v>289</v>
      </c>
      <c r="I57" s="122"/>
      <c r="J57" s="123"/>
      <c r="K57" s="124"/>
    </row>
    <row r="58" s="38" customFormat="1" ht="29.25" customHeight="1" spans="1:17">
      <c r="B58" s="46"/>
      <c r="C58" s="125"/>
      <c r="D58" s="48"/>
      <c r="E58" s="126" t="s">
        <v>282</v>
      </c>
      <c r="F58" s="127"/>
      <c r="G58" s="127"/>
      <c r="H58" s="127"/>
      <c r="I58" s="127"/>
      <c r="J58" s="128"/>
      <c r="K58" s="49"/>
    </row>
    <row r="59" s="38" customFormat="1" ht="9.75" customHeight="1" spans="1:17">
      <c r="B59" s="54"/>
      <c r="C59" s="55"/>
      <c r="D59" s="55"/>
      <c r="E59" s="129"/>
      <c r="F59" s="129"/>
      <c r="G59" s="129"/>
      <c r="H59" s="129"/>
      <c r="I59" s="129"/>
      <c r="J59" s="129"/>
      <c r="K59" s="56"/>
      <c r="M59" s="48"/>
      <c r="N59" s="48"/>
      <c r="O59" s="48"/>
      <c r="P59" s="48"/>
    </row>
    <row r="60" s="38" customFormat="1" ht="14.25" customHeight="1" spans="1:17">
      <c r="A60" s="48"/>
      <c r="B60" s="48"/>
      <c r="C60" s="48"/>
      <c r="D60" s="48"/>
      <c r="E60" s="48"/>
      <c r="F60" s="48"/>
      <c r="G60" s="48"/>
      <c r="H60" s="48"/>
      <c r="I60" s="130"/>
      <c r="J60" s="130"/>
      <c r="K60" s="48"/>
      <c r="L60" s="48"/>
      <c r="M60" s="48"/>
      <c r="N60" s="48"/>
      <c r="O60" s="48"/>
      <c r="P60" s="48"/>
    </row>
    <row r="61" customFormat="1" customHeight="1" spans="1:17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38"/>
      <c r="M61" s="132"/>
      <c r="N61" s="132"/>
      <c r="O61" s="132"/>
      <c r="P61" s="132"/>
    </row>
    <row r="62" spans="1:17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M62" s="134"/>
      <c r="N62" s="135"/>
      <c r="O62" s="135"/>
      <c r="P62" s="135"/>
      <c r="Q62" s="135"/>
    </row>
    <row r="63" spans="1:17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M63" s="133"/>
    </row>
    <row r="64" ht="5.25" customHeight="1" spans="1:17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M64" s="133"/>
    </row>
    <row r="65" ht="6" customHeight="1" spans="1:13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M65" s="133"/>
    </row>
    <row r="66" ht="27" customHeight="1" spans="1:13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M66" s="133"/>
    </row>
    <row r="67" ht="13.5" customHeight="1" spans="1:13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M67" s="133"/>
    </row>
    <row r="68" ht="5.25" customHeight="1" spans="1:13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M68" s="133"/>
    </row>
    <row r="69" ht="25.5" customHeight="1" spans="1:13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M69" s="133"/>
    </row>
    <row r="70" ht="13.5" customHeight="1" spans="1:13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M70" s="133"/>
    </row>
    <row r="71" ht="5.25" customHeight="1" spans="1:13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M71" s="133"/>
    </row>
    <row r="72" ht="15" customHeight="1" spans="1:13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M72" s="133"/>
    </row>
    <row r="73" ht="13.5" customHeight="1" spans="1:1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M73" s="133"/>
    </row>
    <row r="74" ht="5.25" customHeight="1" spans="1:13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M74" s="133"/>
    </row>
    <row r="75" ht="27.75" customHeight="1" spans="1:13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M75" s="133"/>
    </row>
    <row r="107" customHeight="1"/>
    <row r="108" customHeight="1"/>
    <row r="109" customHeight="1"/>
    <row r="110" customHeight="1"/>
    <row r="111" customHeight="1"/>
    <row r="113" ht="3.75" customHeight="1"/>
    <row r="116" ht="54" customHeight="1"/>
    <row r="117" ht="9.75" customHeight="1"/>
  </sheetData>
  <sheetProtection sheet="1" objects="1" scenarios="1"/>
  <autoFilter xmlns:etc="http://www.wps.cn/officeDocument/2017/etCustomData" ref="C18:J53" etc:filterBottomFollowUsedRange="0">
    <filterColumn colId="0">
      <customFilters>
        <customFilter operator="notEqual" val=""/>
      </customFilters>
    </filterColumn>
    <extLst/>
  </autoFilter>
  <mergeCells count="21">
    <mergeCell ref="B2:H2"/>
    <mergeCell ref="I5:J5"/>
    <mergeCell ref="C9:E9"/>
    <mergeCell ref="C10:E10"/>
    <mergeCell ref="D12:G12"/>
    <mergeCell ref="I12:J12"/>
    <mergeCell ref="D13:G13"/>
    <mergeCell ref="I13:J13"/>
    <mergeCell ref="C15:D15"/>
    <mergeCell ref="E15:G15"/>
    <mergeCell ref="I15:J15"/>
    <mergeCell ref="C16:D16"/>
    <mergeCell ref="E16:G16"/>
    <mergeCell ref="I16:J16"/>
    <mergeCell ref="C18:E18"/>
    <mergeCell ref="D52:J52"/>
    <mergeCell ref="E57:G57"/>
    <mergeCell ref="H57:J57"/>
    <mergeCell ref="E58:J58"/>
    <mergeCell ref="B19:B52"/>
    <mergeCell ref="C56:C58"/>
  </mergeCells>
  <conditionalFormatting sqref="C16:D16">
    <cfRule type="expression" dxfId="1" priority="5" stopIfTrue="1">
      <formula>$C$16=0</formula>
    </cfRule>
  </conditionalFormatting>
  <conditionalFormatting sqref="E16:G16">
    <cfRule type="expression" dxfId="1" priority="4" stopIfTrue="1">
      <formula>$E$16=0</formula>
    </cfRule>
  </conditionalFormatting>
  <conditionalFormatting sqref="D52:J52">
    <cfRule type="expression" dxfId="2" priority="7" stopIfTrue="1">
      <formula>$D$52&lt;&gt;""</formula>
    </cfRule>
  </conditionalFormatting>
  <conditionalFormatting sqref="H57:J57">
    <cfRule type="expression" dxfId="3" priority="6" stopIfTrue="1">
      <formula>$H$57&lt;&gt;""</formula>
    </cfRule>
  </conditionalFormatting>
  <conditionalFormatting sqref="C19:C52;L56;H54:J55;I16:J16;C10:J10;I13:J13;G19:G51;I19:I51;J56">
    <cfRule type="expression" dxfId="1" priority="1" stopIfTrue="1">
      <formula>C10=0</formula>
    </cfRule>
  </conditionalFormatting>
  <conditionalFormatting sqref="C13:H13;H16">
    <cfRule type="expression" dxfId="2" priority="3" stopIfTrue="1">
      <formula>C13&lt;&gt;""</formula>
    </cfRule>
  </conditionalFormatting>
  <conditionalFormatting sqref="J51;H19:H51;J19:J28;F19:F51">
    <cfRule type="expression" dxfId="0" priority="2" stopIfTrue="1">
      <formula>F19=0</formula>
    </cfRule>
  </conditionalFormatting>
  <dataValidations count="2">
    <dataValidation type="list" showInputMessage="1" showErrorMessage="1" sqref="I5:J5">
      <formula1>"Original para el Empleado;Duplicado del Empleador"</formula1>
    </dataValidation>
    <dataValidation type="list" showInputMessage="1" showErrorMessage="1" errorTitle="Número de Legajo Erroneo" error="El número de legajo que desea ingresar es inexistente. Consulte la hoja &quot;Datos Empleados&quot;." sqref="J6">
      <formula1>ListaLegajo</formula1>
    </dataValidation>
  </dataValidations>
  <printOptions horizontalCentered="1" verticalCentered="1"/>
  <pageMargins left="0.75" right="0.75" top="1" bottom="1" header="0" footer="0"/>
  <pageSetup paperSize="9" scale="80" orientation="portrait" horizontalDpi="300" verticalDpi="300"/>
  <headerFooter alignWithMargins="0"/>
  <rowBreaks count="1" manualBreakCount="1">
    <brk id="59" max="10" man="1"/>
  </row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7"/>
  <dimension ref="A1:IT56"/>
  <sheetViews>
    <sheetView showGridLines="0" zoomScaleSheetLayoutView="60" workbookViewId="0">
      <pane ySplit="6" topLeftCell="A7" activePane="bottomLeft" state="frozenSplit"/>
      <selection/>
      <selection pane="bottomLeft" activeCell="F27" sqref="F27"/>
    </sheetView>
  </sheetViews>
  <sheetFormatPr defaultColWidth="9.14285714285714" defaultRowHeight="11.25"/>
  <cols>
    <col min="1" max="1" width="2.57142857142857" style="21" customWidth="1"/>
    <col min="2" max="2" width="18.2857142857143" style="22"/>
    <col min="3" max="3" width="7.57142857142857" style="21" customWidth="1"/>
    <col min="4" max="4" width="15.2857142857143" style="21" customWidth="1"/>
    <col min="5" max="5" width="13.5714285714286" style="21"/>
    <col min="6" max="6" width="11.8571428571429" style="21"/>
    <col min="7" max="7" width="12.4285714285714" style="21" customWidth="1"/>
    <col min="8" max="8" width="12.5714285714286" style="21" customWidth="1"/>
    <col min="9" max="9" width="12.1428571428571" style="21"/>
    <col min="10" max="10" width="10.5714285714286" style="21" customWidth="1"/>
    <col min="11" max="11" width="11.8571428571429" style="21" customWidth="1"/>
    <col min="12" max="12" width="9" style="21" customWidth="1"/>
    <col min="13" max="13" width="6.42857142857143" style="21" customWidth="1"/>
    <col min="14" max="14" width="6.57142857142857" style="21" customWidth="1"/>
    <col min="15" max="15" width="7.85714285714286" style="21"/>
    <col min="16" max="16" width="9.71428571428571" style="21"/>
    <col min="17" max="17" width="13.4285714285714" style="21" customWidth="1"/>
    <col min="18" max="18" width="8.28571428571429" style="21"/>
    <col min="19" max="23" width="8.57142857142857" style="21"/>
    <col min="24" max="16384" width="9.14285714285714" style="21"/>
  </cols>
  <sheetData>
    <row r="1" s="18" customFormat="1" ht="6" customHeight="1" spans="1:254">
      <c r="A1" s="23"/>
      <c r="B1" s="23"/>
      <c r="C1" s="23"/>
      <c r="D1" s="24"/>
      <c r="E1" s="23"/>
      <c r="F1" s="24"/>
      <c r="G1" s="23"/>
      <c r="H1" s="24"/>
      <c r="I1" s="23"/>
      <c r="J1" s="23"/>
      <c r="K1" s="23"/>
      <c r="L1" s="24"/>
      <c r="M1" s="23"/>
      <c r="N1" s="24"/>
      <c r="O1" s="23"/>
      <c r="P1" s="24"/>
      <c r="Q1" s="23"/>
      <c r="R1" s="24"/>
      <c r="S1" s="23"/>
      <c r="T1" s="24"/>
      <c r="U1" s="23"/>
      <c r="V1" s="24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5"/>
      <c r="AI1" s="25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</row>
    <row r="2" s="19" customFormat="1" ht="21.75" customHeight="1" spans="1:254">
      <c r="B2" s="26" t="s">
        <v>290</v>
      </c>
      <c r="C2" s="26"/>
      <c r="D2" s="26"/>
      <c r="E2" s="26"/>
      <c r="F2" s="26"/>
      <c r="G2" s="26"/>
      <c r="H2" s="26"/>
    </row>
    <row r="3" s="20" customFormat="1" ht="13.5" customHeight="1"/>
    <row r="4" s="20" customFormat="1" ht="13.5" customHeight="1" spans="1:254">
      <c r="B4" s="27" t="str">
        <f>IF(Empleador!D6="","",Empleador!D6)</f>
        <v>CARETTA MARIA DEL CARMEN</v>
      </c>
      <c r="C4" s="27"/>
      <c r="D4" s="27"/>
      <c r="G4" s="28" t="s">
        <v>188</v>
      </c>
      <c r="H4" s="29">
        <f>IF(Remuneración!C4="","",Remuneración!C4)</f>
        <v>41000</v>
      </c>
    </row>
    <row r="5" spans="1:254">
      <c r="B5" s="21"/>
    </row>
    <row r="6" ht="21" spans="1:254">
      <c r="B6" s="30" t="s">
        <v>169</v>
      </c>
      <c r="C6" s="30" t="s">
        <v>291</v>
      </c>
      <c r="D6" s="30" t="s">
        <v>170</v>
      </c>
      <c r="E6" s="30" t="s">
        <v>292</v>
      </c>
      <c r="F6" s="30" t="s">
        <v>293</v>
      </c>
      <c r="G6" s="30" t="s">
        <v>294</v>
      </c>
      <c r="H6" s="30" t="s">
        <v>295</v>
      </c>
      <c r="I6" s="30" t="s">
        <v>296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="20" customFormat="1" spans="1:254">
      <c r="A7" s="21"/>
      <c r="B7" s="32" t="str">
        <f>IF(Remuneración!C8="","",Remuneración!C8)</f>
        <v>ARANIBAR CLAUDIA CRISTINA</v>
      </c>
      <c r="C7" s="32">
        <f>IF(Remuneración!B8="","",Remuneración!B8)</f>
        <v>1</v>
      </c>
      <c r="D7" s="32" t="str">
        <f>IF(Empleados!F8="","",Empleados!F8)</f>
        <v>27-23067512-6</v>
      </c>
      <c r="E7" s="32" t="str">
        <f>IF(Empleados!M8="","",Empleados!M8)</f>
        <v/>
      </c>
      <c r="F7" s="33" t="e">
        <f>IF(Remuneración!AP8="","",Remuneración!AP8+Remuneración!AL8+Remuneración!AN8)</f>
        <v>#VALUE!</v>
      </c>
      <c r="G7" s="33" t="e">
        <f>'Ret. y no Rem.'!AC7+'Ret. VAV y SAC'!V7</f>
        <v>#VALUE!</v>
      </c>
      <c r="H7" s="33" t="e">
        <f>'Ret. y no Rem.'!AM7+'Ret. y no Rem.'!AL7</f>
        <v>#VALUE!</v>
      </c>
      <c r="I7" s="33" t="e">
        <f>ROUNDUP(IF(ISERROR(H7+F7-G7),"",H7+F7-G7),0)</f>
        <v>#VALUE!</v>
      </c>
      <c r="J7" s="34"/>
      <c r="K7" s="35"/>
      <c r="L7" s="34"/>
      <c r="M7" s="35"/>
      <c r="N7" s="34"/>
      <c r="O7" s="35"/>
      <c r="P7" s="35"/>
      <c r="Q7" s="35"/>
      <c r="R7" s="36"/>
      <c r="S7" s="36"/>
      <c r="T7" s="36"/>
      <c r="U7" s="36"/>
      <c r="V7" s="36"/>
      <c r="W7" s="36"/>
      <c r="X7" s="36"/>
    </row>
    <row r="8" s="20" customFormat="1" spans="1:254">
      <c r="A8" s="21"/>
      <c r="B8" s="32" t="str">
        <f>IF(Remuneración!C9="","",Remuneración!C9)</f>
        <v>QUIROGA VANINA LEONELA</v>
      </c>
      <c r="C8" s="32">
        <f>IF(Remuneración!B9="","",Remuneración!B9)</f>
        <v>2</v>
      </c>
      <c r="D8" s="32" t="str">
        <f>IF(Empleados!F9="","",Empleados!F9)</f>
        <v>27-34642729-4</v>
      </c>
      <c r="E8" s="32" t="str">
        <f>IF(Empleados!M9="","",Empleados!M9)</f>
        <v/>
      </c>
      <c r="F8" s="33">
        <f>IF(Remuneración!AP9="","",Remuneración!AP9+Remuneración!AL9+Remuneración!AN9)</f>
        <v>2213.745216</v>
      </c>
      <c r="G8" s="33">
        <f>+'Ret. y no Rem.'!AC8+'Ret. VAV y SAC'!V8</f>
        <v>376.33668672</v>
      </c>
      <c r="H8" s="33">
        <f>'Ret. y no Rem.'!AM8+'Ret. y no Rem.'!AL8</f>
        <v>0.591470720000189</v>
      </c>
      <c r="I8" s="33">
        <f t="shared" ref="I8:I56" si="0">ROUNDUP(IF(ISERROR(H8+F8-G8),"",H8+F8-G8),0)</f>
        <v>1838</v>
      </c>
      <c r="J8" s="34"/>
      <c r="K8" s="35"/>
      <c r="L8" s="34"/>
      <c r="M8" s="35"/>
      <c r="N8" s="34"/>
      <c r="O8" s="35"/>
      <c r="P8" s="35"/>
      <c r="Q8" s="35"/>
      <c r="R8" s="36"/>
      <c r="S8" s="36"/>
      <c r="T8" s="36"/>
      <c r="U8" s="36"/>
      <c r="V8" s="36"/>
      <c r="W8" s="36"/>
      <c r="X8" s="36"/>
    </row>
    <row r="9" s="20" customFormat="1" spans="1:254">
      <c r="A9" s="21"/>
      <c r="B9" s="32" t="str">
        <f>IF(Remuneración!C10="","",Remuneración!C10)</f>
        <v/>
      </c>
      <c r="C9" s="32" t="str">
        <f>IF(Remuneración!B10="","",Remuneración!B10)</f>
        <v/>
      </c>
      <c r="D9" s="32" t="str">
        <f>IF(Empleados!F10="","",Empleados!F10)</f>
        <v/>
      </c>
      <c r="E9" s="32" t="str">
        <f>IF(Empleados!M10="","",Empleados!M10)</f>
        <v/>
      </c>
      <c r="F9" s="33">
        <f>IF(Remuneración!AP10="","",Remuneración!AP10+Remuneración!AL10+Remuneración!AN10)</f>
        <v>0</v>
      </c>
      <c r="G9" s="33">
        <f>+'Ret. y no Rem.'!AC9+'Ret. VAV y SAC'!V9</f>
        <v>0</v>
      </c>
      <c r="H9" s="33">
        <f>'Ret. y no Rem.'!AM9+'Ret. y no Rem.'!AL9</f>
        <v>0</v>
      </c>
      <c r="I9" s="33">
        <f t="shared" si="0"/>
        <v>0</v>
      </c>
      <c r="J9" s="34"/>
      <c r="K9" s="35"/>
      <c r="L9" s="34"/>
      <c r="M9" s="35"/>
      <c r="N9" s="34"/>
      <c r="O9" s="35"/>
      <c r="P9" s="35"/>
      <c r="Q9" s="35"/>
      <c r="R9" s="36"/>
      <c r="S9" s="36"/>
      <c r="T9" s="36"/>
      <c r="U9" s="36"/>
      <c r="V9" s="36"/>
      <c r="W9" s="36"/>
      <c r="X9" s="36"/>
    </row>
    <row r="10" s="20" customFormat="1" spans="1:254">
      <c r="A10" s="21"/>
      <c r="B10" s="32" t="str">
        <f>IF(Remuneración!C11="","",Remuneración!C11)</f>
        <v/>
      </c>
      <c r="C10" s="32" t="str">
        <f>IF(Remuneración!B11="","",Remuneración!B11)</f>
        <v/>
      </c>
      <c r="D10" s="32" t="str">
        <f>IF(Empleados!F11="","",Empleados!F11)</f>
        <v/>
      </c>
      <c r="E10" s="32" t="str">
        <f>IF(Empleados!M11="","",Empleados!M11)</f>
        <v/>
      </c>
      <c r="F10" s="33">
        <f>IF(Remuneración!AP11="","",Remuneración!AP11+Remuneración!AL11+Remuneración!AN11)</f>
        <v>0</v>
      </c>
      <c r="G10" s="33">
        <f>+'Ret. y no Rem.'!AC10+'Ret. VAV y SAC'!V10</f>
        <v>0</v>
      </c>
      <c r="H10" s="33">
        <f>'Ret. y no Rem.'!AM10+'Ret. y no Rem.'!AL10</f>
        <v>0</v>
      </c>
      <c r="I10" s="33">
        <f t="shared" si="0"/>
        <v>0</v>
      </c>
      <c r="J10" s="34"/>
      <c r="K10" s="35"/>
      <c r="L10" s="34"/>
      <c r="M10" s="35"/>
      <c r="N10" s="34"/>
      <c r="O10" s="35"/>
      <c r="P10" s="35"/>
      <c r="Q10" s="35"/>
      <c r="R10" s="36"/>
      <c r="S10" s="36"/>
      <c r="T10" s="36"/>
      <c r="U10" s="36"/>
      <c r="V10" s="36"/>
      <c r="W10" s="36"/>
      <c r="X10" s="36"/>
    </row>
    <row r="11" s="20" customFormat="1" spans="1:254">
      <c r="A11" s="21"/>
      <c r="B11" s="32" t="str">
        <f>IF(Remuneración!C12="","",Remuneración!C12)</f>
        <v/>
      </c>
      <c r="C11" s="32" t="str">
        <f>IF(Remuneración!B12="","",Remuneración!B12)</f>
        <v/>
      </c>
      <c r="D11" s="32" t="str">
        <f>IF(Empleados!F12="","",Empleados!F12)</f>
        <v/>
      </c>
      <c r="E11" s="32" t="str">
        <f>IF(Empleados!M12="","",Empleados!M12)</f>
        <v/>
      </c>
      <c r="F11" s="33">
        <f>IF(Remuneración!AP12="","",Remuneración!AP12+Remuneración!AL12+Remuneración!AN12)</f>
        <v>0</v>
      </c>
      <c r="G11" s="33">
        <f>+'Ret. y no Rem.'!AC11+'Ret. VAV y SAC'!V11</f>
        <v>0</v>
      </c>
      <c r="H11" s="33">
        <f>'Ret. y no Rem.'!AM11+'Ret. y no Rem.'!AL11</f>
        <v>0</v>
      </c>
      <c r="I11" s="33">
        <f t="shared" si="0"/>
        <v>0</v>
      </c>
      <c r="J11" s="34"/>
      <c r="K11" s="35"/>
      <c r="L11" s="34"/>
      <c r="M11" s="35"/>
      <c r="N11" s="34"/>
      <c r="O11" s="35"/>
      <c r="P11" s="35"/>
      <c r="Q11" s="35"/>
      <c r="R11" s="36"/>
      <c r="S11" s="36"/>
      <c r="T11" s="36"/>
      <c r="U11" s="36"/>
      <c r="V11" s="36"/>
      <c r="W11" s="36"/>
      <c r="X11" s="36"/>
    </row>
    <row r="12" s="20" customFormat="1" spans="1:254">
      <c r="A12" s="21"/>
      <c r="B12" s="32" t="str">
        <f>IF(Remuneración!C13="","",Remuneración!C13)</f>
        <v/>
      </c>
      <c r="C12" s="32" t="str">
        <f>IF(Remuneración!B13="","",Remuneración!B13)</f>
        <v/>
      </c>
      <c r="D12" s="32" t="str">
        <f>IF(Empleados!F13="","",Empleados!F13)</f>
        <v/>
      </c>
      <c r="E12" s="32" t="str">
        <f>IF(Empleados!M13="","",Empleados!M13)</f>
        <v/>
      </c>
      <c r="F12" s="33">
        <f>IF(Remuneración!AP13="","",Remuneración!AP13+Remuneración!AL13+Remuneración!AN13)</f>
        <v>0</v>
      </c>
      <c r="G12" s="33">
        <f>+'Ret. y no Rem.'!AC12+'Ret. VAV y SAC'!V12</f>
        <v>0</v>
      </c>
      <c r="H12" s="33">
        <f>'Ret. y no Rem.'!AM12+'Ret. y no Rem.'!AL12</f>
        <v>0</v>
      </c>
      <c r="I12" s="33">
        <f t="shared" si="0"/>
        <v>0</v>
      </c>
      <c r="J12" s="34"/>
      <c r="K12" s="35"/>
      <c r="L12" s="34"/>
      <c r="M12" s="35"/>
      <c r="N12" s="34"/>
      <c r="O12" s="35"/>
      <c r="P12" s="35"/>
      <c r="Q12" s="35"/>
      <c r="R12" s="36"/>
      <c r="S12" s="36"/>
      <c r="T12" s="36"/>
      <c r="U12" s="36"/>
      <c r="V12" s="36"/>
      <c r="W12" s="36"/>
      <c r="X12" s="36"/>
    </row>
    <row r="13" s="20" customFormat="1" spans="1:254">
      <c r="A13" s="21"/>
      <c r="B13" s="32" t="str">
        <f>IF(Remuneración!C14="","",Remuneración!C14)</f>
        <v/>
      </c>
      <c r="C13" s="32" t="str">
        <f>IF(Remuneración!B14="","",Remuneración!B14)</f>
        <v/>
      </c>
      <c r="D13" s="32" t="str">
        <f>IF(Empleados!F14="","",Empleados!F14)</f>
        <v/>
      </c>
      <c r="E13" s="32" t="str">
        <f>IF(Empleados!M14="","",Empleados!M14)</f>
        <v/>
      </c>
      <c r="F13" s="33">
        <f>IF(Remuneración!AP14="","",Remuneración!AP14+Remuneración!AL14+Remuneración!AN14)</f>
        <v>0</v>
      </c>
      <c r="G13" s="33">
        <f>+'Ret. y no Rem.'!AC13+'Ret. VAV y SAC'!V13</f>
        <v>0</v>
      </c>
      <c r="H13" s="33">
        <f>'Ret. y no Rem.'!AM13+'Ret. y no Rem.'!AL13</f>
        <v>0</v>
      </c>
      <c r="I13" s="33">
        <f t="shared" si="0"/>
        <v>0</v>
      </c>
      <c r="J13" s="34"/>
      <c r="K13" s="35"/>
      <c r="L13" s="34"/>
      <c r="M13" s="35"/>
      <c r="N13" s="34"/>
      <c r="O13" s="35"/>
      <c r="P13" s="35"/>
      <c r="Q13" s="35"/>
      <c r="R13" s="36"/>
      <c r="S13" s="36"/>
      <c r="T13" s="36"/>
      <c r="U13" s="36"/>
      <c r="V13" s="36"/>
      <c r="W13" s="36"/>
      <c r="X13" s="36"/>
    </row>
    <row r="14" s="20" customFormat="1" spans="1:254">
      <c r="A14" s="21"/>
      <c r="B14" s="32" t="str">
        <f>IF(Remuneración!C15="","",Remuneración!C15)</f>
        <v/>
      </c>
      <c r="C14" s="32" t="str">
        <f>IF(Remuneración!B15="","",Remuneración!B15)</f>
        <v/>
      </c>
      <c r="D14" s="32" t="str">
        <f>IF(Empleados!F15="","",Empleados!F15)</f>
        <v/>
      </c>
      <c r="E14" s="32" t="str">
        <f>IF(Empleados!M15="","",Empleados!M15)</f>
        <v/>
      </c>
      <c r="F14" s="33">
        <f>IF(Remuneración!AP15="","",Remuneración!AP15+Remuneración!AL15+Remuneración!AN15)</f>
        <v>0</v>
      </c>
      <c r="G14" s="33">
        <f>+'Ret. y no Rem.'!AC14+'Ret. VAV y SAC'!V14</f>
        <v>0</v>
      </c>
      <c r="H14" s="33">
        <f>'Ret. y no Rem.'!AM14+'Ret. y no Rem.'!AL14</f>
        <v>0</v>
      </c>
      <c r="I14" s="33">
        <f t="shared" si="0"/>
        <v>0</v>
      </c>
      <c r="J14" s="34"/>
      <c r="K14" s="35"/>
      <c r="L14" s="34"/>
      <c r="M14" s="35"/>
      <c r="N14" s="34"/>
      <c r="O14" s="35"/>
      <c r="P14" s="35"/>
      <c r="Q14" s="35"/>
      <c r="R14" s="36"/>
      <c r="S14" s="36"/>
      <c r="T14" s="36"/>
      <c r="U14" s="36"/>
      <c r="V14" s="36"/>
      <c r="W14" s="36"/>
      <c r="X14" s="36"/>
    </row>
    <row r="15" s="20" customFormat="1" spans="1:254">
      <c r="A15" s="21"/>
      <c r="B15" s="32" t="str">
        <f>IF(Remuneración!C16="","",Remuneración!C16)</f>
        <v/>
      </c>
      <c r="C15" s="32" t="str">
        <f>IF(Remuneración!B16="","",Remuneración!B16)</f>
        <v/>
      </c>
      <c r="D15" s="32" t="str">
        <f>IF(Empleados!F16="","",Empleados!F16)</f>
        <v/>
      </c>
      <c r="E15" s="32" t="str">
        <f>IF(Empleados!M16="","",Empleados!M16)</f>
        <v/>
      </c>
      <c r="F15" s="33">
        <f>IF(Remuneración!AP16="","",Remuneración!AP16+Remuneración!AL16+Remuneración!AN16)</f>
        <v>0</v>
      </c>
      <c r="G15" s="33">
        <f>+'Ret. y no Rem.'!AC15+'Ret. VAV y SAC'!V15</f>
        <v>0</v>
      </c>
      <c r="H15" s="33">
        <f>'Ret. y no Rem.'!AM15+'Ret. y no Rem.'!AL15</f>
        <v>0</v>
      </c>
      <c r="I15" s="33">
        <f t="shared" si="0"/>
        <v>0</v>
      </c>
      <c r="J15" s="34"/>
      <c r="K15" s="35"/>
      <c r="L15" s="34"/>
      <c r="M15" s="35"/>
      <c r="N15" s="34"/>
      <c r="O15" s="35"/>
      <c r="P15" s="35"/>
      <c r="Q15" s="35"/>
      <c r="R15" s="36"/>
      <c r="S15" s="36"/>
      <c r="T15" s="36"/>
      <c r="U15" s="36"/>
      <c r="V15" s="36"/>
      <c r="W15" s="36"/>
      <c r="X15" s="36"/>
    </row>
    <row r="16" s="20" customFormat="1" spans="1:254">
      <c r="A16" s="21"/>
      <c r="B16" s="32" t="str">
        <f>IF(Remuneración!C17="","",Remuneración!C17)</f>
        <v/>
      </c>
      <c r="C16" s="32" t="str">
        <f>IF(Remuneración!B17="","",Remuneración!B17)</f>
        <v/>
      </c>
      <c r="D16" s="32" t="str">
        <f>IF(Empleados!F17="","",Empleados!F17)</f>
        <v/>
      </c>
      <c r="E16" s="32" t="str">
        <f>IF(Empleados!M17="","",Empleados!M17)</f>
        <v/>
      </c>
      <c r="F16" s="33">
        <f>IF(Remuneración!AP17="","",Remuneración!AP17+Remuneración!AL17+Remuneración!AN17)</f>
        <v>0</v>
      </c>
      <c r="G16" s="33">
        <f>+'Ret. y no Rem.'!AC16+'Ret. VAV y SAC'!V16</f>
        <v>0</v>
      </c>
      <c r="H16" s="33">
        <f>'Ret. y no Rem.'!AM16+'Ret. y no Rem.'!AL16</f>
        <v>0</v>
      </c>
      <c r="I16" s="33">
        <f t="shared" si="0"/>
        <v>0</v>
      </c>
      <c r="J16" s="34"/>
      <c r="K16" s="35"/>
      <c r="L16" s="34"/>
      <c r="M16" s="35"/>
      <c r="N16" s="34"/>
      <c r="O16" s="35"/>
      <c r="P16" s="35"/>
      <c r="Q16" s="35"/>
      <c r="R16" s="36"/>
      <c r="S16" s="36"/>
      <c r="T16" s="36"/>
      <c r="U16" s="36"/>
      <c r="V16" s="36"/>
      <c r="W16" s="36"/>
      <c r="X16" s="36"/>
    </row>
    <row r="17" s="20" customFormat="1" spans="1:24">
      <c r="A17" s="21"/>
      <c r="B17" s="32" t="str">
        <f>IF(Remuneración!C18="","",Remuneración!C18)</f>
        <v/>
      </c>
      <c r="C17" s="32" t="str">
        <f>IF(Remuneración!B18="","",Remuneración!B18)</f>
        <v/>
      </c>
      <c r="D17" s="32" t="str">
        <f>IF(Empleados!F18="","",Empleados!F18)</f>
        <v/>
      </c>
      <c r="E17" s="32" t="str">
        <f>IF(Empleados!M18="","",Empleados!M18)</f>
        <v/>
      </c>
      <c r="F17" s="33">
        <f>IF(Remuneración!AP18="","",Remuneración!AP18+Remuneración!AL18+Remuneración!AN18)</f>
        <v>0</v>
      </c>
      <c r="G17" s="33">
        <f>+'Ret. y no Rem.'!AC17+'Ret. VAV y SAC'!V17</f>
        <v>0</v>
      </c>
      <c r="H17" s="33">
        <f>'Ret. y no Rem.'!AM17+'Ret. y no Rem.'!AL17</f>
        <v>0</v>
      </c>
      <c r="I17" s="33">
        <f t="shared" si="0"/>
        <v>0</v>
      </c>
      <c r="J17" s="34"/>
      <c r="K17" s="35"/>
      <c r="L17" s="34"/>
      <c r="M17" s="35"/>
      <c r="N17" s="34"/>
      <c r="O17" s="35"/>
      <c r="P17" s="35"/>
      <c r="Q17" s="35"/>
      <c r="R17" s="36"/>
      <c r="S17" s="36"/>
      <c r="T17" s="36"/>
      <c r="U17" s="36"/>
      <c r="V17" s="36"/>
      <c r="W17" s="36"/>
      <c r="X17" s="36"/>
    </row>
    <row r="18" s="20" customFormat="1" spans="1:24">
      <c r="A18" s="21"/>
      <c r="B18" s="32" t="str">
        <f>IF(Remuneración!C19="","",Remuneración!C19)</f>
        <v/>
      </c>
      <c r="C18" s="32" t="str">
        <f>IF(Remuneración!B19="","",Remuneración!B19)</f>
        <v/>
      </c>
      <c r="D18" s="32" t="str">
        <f>IF(Empleados!F19="","",Empleados!F19)</f>
        <v/>
      </c>
      <c r="E18" s="32" t="str">
        <f>IF(Empleados!M19="","",Empleados!M19)</f>
        <v/>
      </c>
      <c r="F18" s="33">
        <f>IF(Remuneración!AP19="","",Remuneración!AP19+Remuneración!AL19+Remuneración!AN19)</f>
        <v>0</v>
      </c>
      <c r="G18" s="33">
        <f>+'Ret. y no Rem.'!AC18+'Ret. VAV y SAC'!V18</f>
        <v>0</v>
      </c>
      <c r="H18" s="33">
        <f>'Ret. y no Rem.'!AM18+'Ret. y no Rem.'!AL18</f>
        <v>0</v>
      </c>
      <c r="I18" s="33">
        <f t="shared" si="0"/>
        <v>0</v>
      </c>
      <c r="J18" s="34"/>
      <c r="K18" s="35"/>
      <c r="L18" s="34"/>
      <c r="M18" s="35"/>
      <c r="N18" s="34"/>
      <c r="O18" s="35"/>
      <c r="P18" s="35"/>
      <c r="Q18" s="35"/>
      <c r="R18" s="36"/>
      <c r="S18" s="36"/>
      <c r="T18" s="36"/>
      <c r="U18" s="36"/>
      <c r="V18" s="36"/>
      <c r="W18" s="36"/>
      <c r="X18" s="36"/>
    </row>
    <row r="19" s="20" customFormat="1" spans="1:24">
      <c r="A19" s="21"/>
      <c r="B19" s="32" t="str">
        <f>IF(Remuneración!C20="","",Remuneración!C20)</f>
        <v/>
      </c>
      <c r="C19" s="32" t="str">
        <f>IF(Remuneración!B20="","",Remuneración!B20)</f>
        <v/>
      </c>
      <c r="D19" s="32" t="str">
        <f>IF(Empleados!F20="","",Empleados!F20)</f>
        <v/>
      </c>
      <c r="E19" s="32" t="str">
        <f>IF(Empleados!M20="","",Empleados!M20)</f>
        <v/>
      </c>
      <c r="F19" s="33">
        <f>IF(Remuneración!AP20="","",Remuneración!AP20+Remuneración!AL20+Remuneración!AN20)</f>
        <v>0</v>
      </c>
      <c r="G19" s="33">
        <f>+'Ret. y no Rem.'!AC19+'Ret. VAV y SAC'!V19</f>
        <v>0</v>
      </c>
      <c r="H19" s="33">
        <f>'Ret. y no Rem.'!AM19+'Ret. y no Rem.'!AL19</f>
        <v>0</v>
      </c>
      <c r="I19" s="33">
        <f t="shared" si="0"/>
        <v>0</v>
      </c>
      <c r="J19" s="34"/>
      <c r="K19" s="35"/>
      <c r="L19" s="34"/>
      <c r="M19" s="35"/>
      <c r="N19" s="34"/>
      <c r="O19" s="35"/>
      <c r="P19" s="35"/>
      <c r="Q19" s="35"/>
      <c r="R19" s="36"/>
      <c r="S19" s="36"/>
      <c r="T19" s="36"/>
      <c r="U19" s="36"/>
      <c r="V19" s="36"/>
      <c r="W19" s="36"/>
      <c r="X19" s="36"/>
    </row>
    <row r="20" s="20" customFormat="1" spans="1:24">
      <c r="A20" s="21"/>
      <c r="B20" s="32" t="str">
        <f>IF(Remuneración!C21="","",Remuneración!C21)</f>
        <v/>
      </c>
      <c r="C20" s="32" t="str">
        <f>IF(Remuneración!B21="","",Remuneración!B21)</f>
        <v/>
      </c>
      <c r="D20" s="32" t="str">
        <f>IF(Empleados!F21="","",Empleados!F21)</f>
        <v/>
      </c>
      <c r="E20" s="32" t="str">
        <f>IF(Empleados!M21="","",Empleados!M21)</f>
        <v/>
      </c>
      <c r="F20" s="33">
        <f>IF(Remuneración!AP21="","",Remuneración!AP21+Remuneración!AL21+Remuneración!AN21)</f>
        <v>0</v>
      </c>
      <c r="G20" s="33">
        <f>+'Ret. y no Rem.'!AC20+'Ret. VAV y SAC'!V20</f>
        <v>0</v>
      </c>
      <c r="H20" s="33">
        <f>'Ret. y no Rem.'!AM20+'Ret. y no Rem.'!AL20</f>
        <v>0</v>
      </c>
      <c r="I20" s="33">
        <f t="shared" si="0"/>
        <v>0</v>
      </c>
      <c r="J20" s="34"/>
      <c r="K20" s="35"/>
      <c r="L20" s="34"/>
      <c r="M20" s="35"/>
      <c r="N20" s="34"/>
      <c r="O20" s="35"/>
      <c r="P20" s="35"/>
      <c r="Q20" s="35"/>
      <c r="R20" s="36"/>
      <c r="S20" s="36"/>
      <c r="T20" s="36"/>
      <c r="U20" s="36"/>
      <c r="V20" s="36"/>
      <c r="W20" s="36"/>
      <c r="X20" s="36"/>
    </row>
    <row r="21" s="20" customFormat="1" spans="1:24">
      <c r="A21" s="21"/>
      <c r="B21" s="32" t="str">
        <f>IF(Remuneración!C22="","",Remuneración!C22)</f>
        <v/>
      </c>
      <c r="C21" s="32" t="str">
        <f>IF(Remuneración!B22="","",Remuneración!B22)</f>
        <v/>
      </c>
      <c r="D21" s="32" t="str">
        <f>IF(Empleados!F22="","",Empleados!F22)</f>
        <v/>
      </c>
      <c r="E21" s="32" t="str">
        <f>IF(Empleados!M22="","",Empleados!M22)</f>
        <v/>
      </c>
      <c r="F21" s="33">
        <f>IF(Remuneración!AP22="","",Remuneración!AP22+Remuneración!AL22+Remuneración!AN22)</f>
        <v>0</v>
      </c>
      <c r="G21" s="33">
        <f>+'Ret. y no Rem.'!AC21+'Ret. VAV y SAC'!V21</f>
        <v>0</v>
      </c>
      <c r="H21" s="33">
        <f>'Ret. y no Rem.'!AM21+'Ret. y no Rem.'!AL21</f>
        <v>0</v>
      </c>
      <c r="I21" s="33">
        <f t="shared" si="0"/>
        <v>0</v>
      </c>
      <c r="J21" s="34"/>
      <c r="K21" s="35"/>
      <c r="L21" s="34"/>
      <c r="M21" s="35"/>
      <c r="N21" s="34"/>
      <c r="O21" s="35"/>
      <c r="P21" s="35"/>
      <c r="Q21" s="35"/>
      <c r="R21" s="36"/>
      <c r="S21" s="36"/>
      <c r="T21" s="36"/>
      <c r="U21" s="36"/>
      <c r="V21" s="36"/>
      <c r="W21" s="36"/>
      <c r="X21" s="36"/>
    </row>
    <row r="22" s="20" customFormat="1" spans="1:24">
      <c r="A22" s="21"/>
      <c r="B22" s="32" t="str">
        <f>IF(Remuneración!C23="","",Remuneración!C23)</f>
        <v/>
      </c>
      <c r="C22" s="32" t="str">
        <f>IF(Remuneración!B23="","",Remuneración!B23)</f>
        <v/>
      </c>
      <c r="D22" s="32" t="str">
        <f>IF(Empleados!F23="","",Empleados!F23)</f>
        <v/>
      </c>
      <c r="E22" s="32" t="str">
        <f>IF(Empleados!M23="","",Empleados!M23)</f>
        <v/>
      </c>
      <c r="F22" s="33">
        <f>IF(Remuneración!AP23="","",Remuneración!AP23+Remuneración!AL23+Remuneración!AN23)</f>
        <v>0</v>
      </c>
      <c r="G22" s="33">
        <f>+'Ret. y no Rem.'!AC22+'Ret. VAV y SAC'!V22</f>
        <v>0</v>
      </c>
      <c r="H22" s="33">
        <f>'Ret. y no Rem.'!AM22+'Ret. y no Rem.'!AL22</f>
        <v>0</v>
      </c>
      <c r="I22" s="33">
        <f t="shared" si="0"/>
        <v>0</v>
      </c>
      <c r="J22" s="34"/>
      <c r="K22" s="35"/>
      <c r="L22" s="34"/>
      <c r="M22" s="35"/>
      <c r="N22" s="34"/>
      <c r="O22" s="35"/>
      <c r="P22" s="35"/>
      <c r="Q22" s="35"/>
      <c r="R22" s="36"/>
      <c r="S22" s="36"/>
      <c r="T22" s="36"/>
      <c r="U22" s="36"/>
      <c r="V22" s="36"/>
      <c r="W22" s="36"/>
      <c r="X22" s="36"/>
    </row>
    <row r="23" s="20" customFormat="1" spans="1:24">
      <c r="A23" s="21"/>
      <c r="B23" s="32" t="str">
        <f>IF(Remuneración!C24="","",Remuneración!C24)</f>
        <v/>
      </c>
      <c r="C23" s="32" t="str">
        <f>IF(Remuneración!B24="","",Remuneración!B24)</f>
        <v/>
      </c>
      <c r="D23" s="32" t="str">
        <f>IF(Empleados!F24="","",Empleados!F24)</f>
        <v/>
      </c>
      <c r="E23" s="32" t="str">
        <f>IF(Empleados!M24="","",Empleados!M24)</f>
        <v/>
      </c>
      <c r="F23" s="33">
        <f>IF(Remuneración!AP24="","",Remuneración!AP24+Remuneración!AL24+Remuneración!AN24)</f>
        <v>0</v>
      </c>
      <c r="G23" s="33">
        <f>+'Ret. y no Rem.'!AC23+'Ret. VAV y SAC'!V23</f>
        <v>0</v>
      </c>
      <c r="H23" s="33">
        <f>'Ret. y no Rem.'!AM23+'Ret. y no Rem.'!AL23</f>
        <v>0</v>
      </c>
      <c r="I23" s="33">
        <f t="shared" si="0"/>
        <v>0</v>
      </c>
      <c r="J23" s="34"/>
      <c r="K23" s="35"/>
      <c r="L23" s="34"/>
      <c r="M23" s="35"/>
      <c r="N23" s="34"/>
      <c r="O23" s="35"/>
      <c r="P23" s="35"/>
      <c r="Q23" s="35"/>
      <c r="R23" s="36"/>
      <c r="S23" s="36"/>
      <c r="T23" s="36"/>
      <c r="U23" s="36"/>
      <c r="V23" s="36"/>
      <c r="W23" s="36"/>
      <c r="X23" s="36"/>
    </row>
    <row r="24" s="20" customFormat="1" spans="1:24">
      <c r="A24" s="21"/>
      <c r="B24" s="32" t="str">
        <f>IF(Remuneración!C25="","",Remuneración!C25)</f>
        <v/>
      </c>
      <c r="C24" s="32" t="str">
        <f>IF(Remuneración!B25="","",Remuneración!B25)</f>
        <v/>
      </c>
      <c r="D24" s="32" t="str">
        <f>IF(Empleados!F25="","",Empleados!F25)</f>
        <v/>
      </c>
      <c r="E24" s="32" t="str">
        <f>IF(Empleados!M25="","",Empleados!M25)</f>
        <v/>
      </c>
      <c r="F24" s="33">
        <f>IF(Remuneración!AP25="","",Remuneración!AP25+Remuneración!AL25+Remuneración!AN25)</f>
        <v>0</v>
      </c>
      <c r="G24" s="33">
        <f>+'Ret. y no Rem.'!AC24+'Ret. VAV y SAC'!V24</f>
        <v>0</v>
      </c>
      <c r="H24" s="33">
        <f>'Ret. y no Rem.'!AM24+'Ret. y no Rem.'!AL24</f>
        <v>0</v>
      </c>
      <c r="I24" s="33">
        <f t="shared" si="0"/>
        <v>0</v>
      </c>
      <c r="J24" s="34"/>
      <c r="K24" s="35"/>
      <c r="L24" s="34"/>
      <c r="M24" s="35"/>
      <c r="N24" s="34"/>
      <c r="O24" s="35"/>
      <c r="P24" s="35"/>
      <c r="Q24" s="35"/>
      <c r="R24" s="36"/>
      <c r="S24" s="36"/>
      <c r="T24" s="36"/>
      <c r="U24" s="36"/>
      <c r="V24" s="36"/>
      <c r="W24" s="36"/>
      <c r="X24" s="36"/>
    </row>
    <row r="25" s="20" customFormat="1" spans="1:24">
      <c r="A25" s="21"/>
      <c r="B25" s="32" t="str">
        <f>IF(Remuneración!C26="","",Remuneración!C26)</f>
        <v/>
      </c>
      <c r="C25" s="32" t="str">
        <f>IF(Remuneración!B26="","",Remuneración!B26)</f>
        <v/>
      </c>
      <c r="D25" s="32" t="str">
        <f>IF(Empleados!F26="","",Empleados!F26)</f>
        <v/>
      </c>
      <c r="E25" s="32" t="str">
        <f>IF(Empleados!M26="","",Empleados!M26)</f>
        <v/>
      </c>
      <c r="F25" s="33">
        <f>IF(Remuneración!AP26="","",Remuneración!AP26+Remuneración!AL26+Remuneración!AN26)</f>
        <v>0</v>
      </c>
      <c r="G25" s="33">
        <f>+'Ret. y no Rem.'!AC25+'Ret. VAV y SAC'!V25</f>
        <v>0</v>
      </c>
      <c r="H25" s="33">
        <f>'Ret. y no Rem.'!AM25+'Ret. y no Rem.'!AL25</f>
        <v>0</v>
      </c>
      <c r="I25" s="33">
        <f t="shared" si="0"/>
        <v>0</v>
      </c>
      <c r="J25" s="34"/>
      <c r="K25" s="35"/>
      <c r="L25" s="34"/>
      <c r="M25" s="35"/>
      <c r="N25" s="34"/>
      <c r="O25" s="35"/>
      <c r="P25" s="35"/>
      <c r="Q25" s="35"/>
      <c r="R25" s="36"/>
      <c r="S25" s="36"/>
      <c r="T25" s="36"/>
      <c r="U25" s="36"/>
      <c r="V25" s="36"/>
      <c r="W25" s="36"/>
      <c r="X25" s="36"/>
    </row>
    <row r="26" s="20" customFormat="1" spans="1:24">
      <c r="A26" s="21"/>
      <c r="B26" s="32" t="str">
        <f>IF(Remuneración!C27="","",Remuneración!C27)</f>
        <v/>
      </c>
      <c r="C26" s="32" t="str">
        <f>IF(Remuneración!B27="","",Remuneración!B27)</f>
        <v/>
      </c>
      <c r="D26" s="32" t="str">
        <f>IF(Empleados!F27="","",Empleados!F27)</f>
        <v/>
      </c>
      <c r="E26" s="32" t="str">
        <f>IF(Empleados!M27="","",Empleados!M27)</f>
        <v/>
      </c>
      <c r="F26" s="33">
        <f>IF(Remuneración!AP27="","",Remuneración!AP27+Remuneración!AL27+Remuneración!AN27)</f>
        <v>0</v>
      </c>
      <c r="G26" s="33">
        <f>+'Ret. y no Rem.'!AC26+'Ret. VAV y SAC'!V26</f>
        <v>0</v>
      </c>
      <c r="H26" s="33">
        <f>'Ret. y no Rem.'!AM26+'Ret. y no Rem.'!AL26</f>
        <v>0</v>
      </c>
      <c r="I26" s="33">
        <f t="shared" si="0"/>
        <v>0</v>
      </c>
      <c r="J26" s="34"/>
      <c r="K26" s="35"/>
      <c r="L26" s="34"/>
      <c r="M26" s="35"/>
      <c r="N26" s="34"/>
      <c r="O26" s="35"/>
      <c r="P26" s="35"/>
      <c r="Q26" s="35"/>
      <c r="R26" s="36"/>
      <c r="S26" s="36"/>
      <c r="T26" s="36"/>
      <c r="U26" s="36"/>
      <c r="V26" s="36"/>
      <c r="W26" s="36"/>
      <c r="X26" s="36"/>
    </row>
    <row r="27" s="20" customFormat="1" spans="1:24">
      <c r="A27" s="21"/>
      <c r="B27" s="32" t="str">
        <f>IF(Remuneración!C28="","",Remuneración!C28)</f>
        <v/>
      </c>
      <c r="C27" s="32" t="str">
        <f>IF(Remuneración!B28="","",Remuneración!B28)</f>
        <v/>
      </c>
      <c r="D27" s="32" t="str">
        <f>IF(Empleados!F28="","",Empleados!F28)</f>
        <v/>
      </c>
      <c r="E27" s="32" t="str">
        <f>IF(Empleados!M28="","",Empleados!M28)</f>
        <v/>
      </c>
      <c r="F27" s="33">
        <f>IF(Remuneración!AP28="","",Remuneración!AP28+Remuneración!AL28+Remuneración!AN28)</f>
        <v>0</v>
      </c>
      <c r="G27" s="33">
        <f>+'Ret. y no Rem.'!AC27+'Ret. VAV y SAC'!V27</f>
        <v>0</v>
      </c>
      <c r="H27" s="33">
        <f>'Ret. y no Rem.'!AM27+'Ret. y no Rem.'!AL27</f>
        <v>0</v>
      </c>
      <c r="I27" s="33">
        <f t="shared" si="0"/>
        <v>0</v>
      </c>
      <c r="J27" s="34"/>
      <c r="K27" s="35"/>
      <c r="L27" s="34"/>
      <c r="M27" s="35"/>
      <c r="N27" s="34"/>
      <c r="O27" s="35"/>
      <c r="P27" s="35"/>
      <c r="Q27" s="35"/>
      <c r="R27" s="36"/>
      <c r="S27" s="36"/>
      <c r="T27" s="36"/>
      <c r="U27" s="36"/>
      <c r="V27" s="36"/>
      <c r="W27" s="36"/>
      <c r="X27" s="36"/>
    </row>
    <row r="28" s="20" customFormat="1" spans="1:24">
      <c r="A28" s="21"/>
      <c r="B28" s="32" t="str">
        <f>IF(Remuneración!C29="","",Remuneración!C29)</f>
        <v/>
      </c>
      <c r="C28" s="32" t="str">
        <f>IF(Remuneración!B29="","",Remuneración!B29)</f>
        <v/>
      </c>
      <c r="D28" s="32" t="str">
        <f>IF(Empleados!F29="","",Empleados!F29)</f>
        <v/>
      </c>
      <c r="E28" s="32" t="str">
        <f>IF(Empleados!M29="","",Empleados!M29)</f>
        <v/>
      </c>
      <c r="F28" s="33">
        <f>IF(Remuneración!AP29="","",Remuneración!AP29+Remuneración!AL29+Remuneración!AN29)</f>
        <v>0</v>
      </c>
      <c r="G28" s="33">
        <f>+'Ret. y no Rem.'!AC28+'Ret. VAV y SAC'!V28</f>
        <v>0</v>
      </c>
      <c r="H28" s="33">
        <f>'Ret. y no Rem.'!AM28+'Ret. y no Rem.'!AL28</f>
        <v>0</v>
      </c>
      <c r="I28" s="33">
        <f t="shared" si="0"/>
        <v>0</v>
      </c>
      <c r="J28" s="34"/>
      <c r="K28" s="35"/>
      <c r="L28" s="34"/>
      <c r="M28" s="35"/>
      <c r="N28" s="34"/>
      <c r="O28" s="35"/>
      <c r="P28" s="35"/>
      <c r="Q28" s="35"/>
      <c r="R28" s="36"/>
      <c r="S28" s="36"/>
      <c r="T28" s="36"/>
      <c r="U28" s="36"/>
      <c r="V28" s="36"/>
      <c r="W28" s="36"/>
      <c r="X28" s="36"/>
    </row>
    <row r="29" s="20" customFormat="1" spans="1:24">
      <c r="A29" s="21"/>
      <c r="B29" s="32" t="str">
        <f>IF(Remuneración!C30="","",Remuneración!C30)</f>
        <v/>
      </c>
      <c r="C29" s="32" t="str">
        <f>IF(Remuneración!B30="","",Remuneración!B30)</f>
        <v/>
      </c>
      <c r="D29" s="32" t="str">
        <f>IF(Empleados!F30="","",Empleados!F30)</f>
        <v/>
      </c>
      <c r="E29" s="32" t="str">
        <f>IF(Empleados!M30="","",Empleados!M30)</f>
        <v/>
      </c>
      <c r="F29" s="33">
        <f>IF(Remuneración!AP30="","",Remuneración!AP30+Remuneración!AL30+Remuneración!AN30)</f>
        <v>0</v>
      </c>
      <c r="G29" s="33">
        <f>+'Ret. y no Rem.'!AC29+'Ret. VAV y SAC'!V29</f>
        <v>0</v>
      </c>
      <c r="H29" s="33">
        <f>'Ret. y no Rem.'!AM29+'Ret. y no Rem.'!AL29</f>
        <v>0</v>
      </c>
      <c r="I29" s="33">
        <f t="shared" si="0"/>
        <v>0</v>
      </c>
      <c r="J29" s="34"/>
      <c r="K29" s="35"/>
      <c r="L29" s="34"/>
      <c r="M29" s="35"/>
      <c r="N29" s="34"/>
      <c r="O29" s="35"/>
      <c r="P29" s="35"/>
      <c r="Q29" s="35"/>
      <c r="R29" s="36"/>
      <c r="S29" s="36"/>
      <c r="T29" s="36"/>
      <c r="U29" s="36"/>
      <c r="V29" s="36"/>
      <c r="W29" s="36"/>
      <c r="X29" s="36"/>
    </row>
    <row r="30" s="20" customFormat="1" spans="1:24">
      <c r="A30" s="21"/>
      <c r="B30" s="32" t="str">
        <f>IF(Remuneración!C31="","",Remuneración!C31)</f>
        <v/>
      </c>
      <c r="C30" s="32" t="str">
        <f>IF(Remuneración!B31="","",Remuneración!B31)</f>
        <v/>
      </c>
      <c r="D30" s="32" t="str">
        <f>IF(Empleados!F31="","",Empleados!F31)</f>
        <v/>
      </c>
      <c r="E30" s="32" t="str">
        <f>IF(Empleados!M31="","",Empleados!M31)</f>
        <v/>
      </c>
      <c r="F30" s="33">
        <f>IF(Remuneración!AP31="","",Remuneración!AP31+Remuneración!AL31+Remuneración!AN31)</f>
        <v>0</v>
      </c>
      <c r="G30" s="33">
        <f>+'Ret. y no Rem.'!AC30+'Ret. VAV y SAC'!V30</f>
        <v>0</v>
      </c>
      <c r="H30" s="33">
        <f>'Ret. y no Rem.'!AM30+'Ret. y no Rem.'!AL30</f>
        <v>0</v>
      </c>
      <c r="I30" s="33">
        <f t="shared" si="0"/>
        <v>0</v>
      </c>
      <c r="J30" s="34"/>
      <c r="K30" s="35"/>
      <c r="L30" s="34"/>
      <c r="M30" s="35"/>
      <c r="N30" s="34"/>
      <c r="O30" s="35"/>
      <c r="P30" s="35"/>
      <c r="Q30" s="35"/>
      <c r="R30" s="36"/>
      <c r="S30" s="36"/>
      <c r="T30" s="36"/>
      <c r="U30" s="36"/>
      <c r="V30" s="36"/>
      <c r="W30" s="36"/>
      <c r="X30" s="36"/>
    </row>
    <row r="31" s="20" customFormat="1" spans="1:24">
      <c r="A31" s="21"/>
      <c r="B31" s="32" t="str">
        <f>IF(Remuneración!C32="","",Remuneración!C32)</f>
        <v/>
      </c>
      <c r="C31" s="32" t="str">
        <f>IF(Remuneración!B32="","",Remuneración!B32)</f>
        <v/>
      </c>
      <c r="D31" s="32" t="str">
        <f>IF(Empleados!F32="","",Empleados!F32)</f>
        <v/>
      </c>
      <c r="E31" s="32" t="str">
        <f>IF(Empleados!M32="","",Empleados!M32)</f>
        <v/>
      </c>
      <c r="F31" s="33">
        <f>IF(Remuneración!AP32="","",Remuneración!AP32+Remuneración!AL32+Remuneración!AN32)</f>
        <v>0</v>
      </c>
      <c r="G31" s="33">
        <f>+'Ret. y no Rem.'!AC31+'Ret. VAV y SAC'!V31</f>
        <v>0</v>
      </c>
      <c r="H31" s="33">
        <f>'Ret. y no Rem.'!AM31+'Ret. y no Rem.'!AL31</f>
        <v>0</v>
      </c>
      <c r="I31" s="33">
        <f t="shared" si="0"/>
        <v>0</v>
      </c>
      <c r="J31" s="34"/>
      <c r="K31" s="35"/>
      <c r="L31" s="34"/>
      <c r="M31" s="35"/>
      <c r="N31" s="34"/>
      <c r="O31" s="35"/>
      <c r="P31" s="35"/>
      <c r="Q31" s="35"/>
      <c r="R31" s="36"/>
      <c r="S31" s="36"/>
      <c r="T31" s="36"/>
      <c r="U31" s="36"/>
      <c r="V31" s="36"/>
      <c r="W31" s="36"/>
      <c r="X31" s="36"/>
    </row>
    <row r="32" s="20" customFormat="1" spans="1:24">
      <c r="A32" s="21"/>
      <c r="B32" s="32" t="str">
        <f>IF(Remuneración!C33="","",Remuneración!C33)</f>
        <v/>
      </c>
      <c r="C32" s="32" t="str">
        <f>IF(Remuneración!B33="","",Remuneración!B33)</f>
        <v/>
      </c>
      <c r="D32" s="32" t="str">
        <f>IF(Empleados!F33="","",Empleados!F33)</f>
        <v/>
      </c>
      <c r="E32" s="32" t="str">
        <f>IF(Empleados!M33="","",Empleados!M33)</f>
        <v/>
      </c>
      <c r="F32" s="33">
        <f>IF(Remuneración!AP33="","",Remuneración!AP33+Remuneración!AL33+Remuneración!AN33)</f>
        <v>0</v>
      </c>
      <c r="G32" s="33">
        <f>+'Ret. y no Rem.'!AC32+'Ret. VAV y SAC'!V32</f>
        <v>0</v>
      </c>
      <c r="H32" s="33">
        <f>'Ret. y no Rem.'!AM32+'Ret. y no Rem.'!AL32</f>
        <v>0</v>
      </c>
      <c r="I32" s="33">
        <f t="shared" si="0"/>
        <v>0</v>
      </c>
      <c r="J32" s="34"/>
      <c r="K32" s="35"/>
      <c r="L32" s="34"/>
      <c r="M32" s="35"/>
      <c r="N32" s="34"/>
      <c r="O32" s="35"/>
      <c r="P32" s="35"/>
      <c r="Q32" s="35"/>
      <c r="R32" s="36"/>
      <c r="S32" s="36"/>
      <c r="T32" s="36"/>
      <c r="U32" s="36"/>
      <c r="V32" s="36"/>
      <c r="W32" s="36"/>
      <c r="X32" s="36"/>
    </row>
    <row r="33" s="20" customFormat="1" spans="1:24">
      <c r="A33" s="21"/>
      <c r="B33" s="32" t="str">
        <f>IF(Remuneración!C34="","",Remuneración!C34)</f>
        <v/>
      </c>
      <c r="C33" s="32" t="str">
        <f>IF(Remuneración!B34="","",Remuneración!B34)</f>
        <v/>
      </c>
      <c r="D33" s="32" t="str">
        <f>IF(Empleados!F34="","",Empleados!F34)</f>
        <v/>
      </c>
      <c r="E33" s="32" t="str">
        <f>IF(Empleados!M34="","",Empleados!M34)</f>
        <v/>
      </c>
      <c r="F33" s="33">
        <f>IF(Remuneración!AP34="","",Remuneración!AP34+Remuneración!AL34+Remuneración!AN34)</f>
        <v>0</v>
      </c>
      <c r="G33" s="33">
        <f>+'Ret. y no Rem.'!AC33+'Ret. VAV y SAC'!V33</f>
        <v>0</v>
      </c>
      <c r="H33" s="33">
        <f>'Ret. y no Rem.'!AM33+'Ret. y no Rem.'!AL33</f>
        <v>0</v>
      </c>
      <c r="I33" s="33">
        <f t="shared" si="0"/>
        <v>0</v>
      </c>
      <c r="J33" s="34"/>
      <c r="K33" s="35"/>
      <c r="L33" s="34"/>
      <c r="M33" s="35"/>
      <c r="N33" s="34"/>
      <c r="O33" s="35"/>
      <c r="P33" s="35"/>
      <c r="Q33" s="35"/>
      <c r="R33" s="36"/>
      <c r="S33" s="36"/>
      <c r="T33" s="36"/>
      <c r="U33" s="36"/>
      <c r="V33" s="36"/>
      <c r="W33" s="36"/>
      <c r="X33" s="36"/>
    </row>
    <row r="34" s="20" customFormat="1" spans="1:24">
      <c r="A34" s="21"/>
      <c r="B34" s="32" t="str">
        <f>IF(Remuneración!C35="","",Remuneración!C35)</f>
        <v/>
      </c>
      <c r="C34" s="32" t="str">
        <f>IF(Remuneración!B35="","",Remuneración!B35)</f>
        <v/>
      </c>
      <c r="D34" s="32" t="str">
        <f>IF(Empleados!F35="","",Empleados!F35)</f>
        <v/>
      </c>
      <c r="E34" s="32" t="str">
        <f>IF(Empleados!M35="","",Empleados!M35)</f>
        <v/>
      </c>
      <c r="F34" s="33">
        <f>IF(Remuneración!AP35="","",Remuneración!AP35+Remuneración!AL35+Remuneración!AN35)</f>
        <v>0</v>
      </c>
      <c r="G34" s="33">
        <f>+'Ret. y no Rem.'!AC34+'Ret. VAV y SAC'!V34</f>
        <v>0</v>
      </c>
      <c r="H34" s="33">
        <f>'Ret. y no Rem.'!AM34+'Ret. y no Rem.'!AL34</f>
        <v>0</v>
      </c>
      <c r="I34" s="33">
        <f t="shared" si="0"/>
        <v>0</v>
      </c>
      <c r="J34" s="34"/>
      <c r="K34" s="35"/>
      <c r="L34" s="34"/>
      <c r="M34" s="35"/>
      <c r="N34" s="34"/>
      <c r="O34" s="35"/>
      <c r="P34" s="35"/>
      <c r="Q34" s="35"/>
      <c r="R34" s="36"/>
      <c r="S34" s="36"/>
      <c r="T34" s="36"/>
      <c r="U34" s="36"/>
      <c r="V34" s="36"/>
      <c r="W34" s="36"/>
      <c r="X34" s="36"/>
    </row>
    <row r="35" s="20" customFormat="1" spans="1:24">
      <c r="A35" s="21"/>
      <c r="B35" s="32" t="str">
        <f>IF(Remuneración!C36="","",Remuneración!C36)</f>
        <v/>
      </c>
      <c r="C35" s="32" t="str">
        <f>IF(Remuneración!B36="","",Remuneración!B36)</f>
        <v/>
      </c>
      <c r="D35" s="32" t="str">
        <f>IF(Empleados!F36="","",Empleados!F36)</f>
        <v/>
      </c>
      <c r="E35" s="32" t="str">
        <f>IF(Empleados!M36="","",Empleados!M36)</f>
        <v/>
      </c>
      <c r="F35" s="33">
        <f>IF(Remuneración!AP36="","",Remuneración!AP36+Remuneración!AL36+Remuneración!AN36)</f>
        <v>0</v>
      </c>
      <c r="G35" s="33">
        <f>+'Ret. y no Rem.'!AC35+'Ret. VAV y SAC'!V35</f>
        <v>0</v>
      </c>
      <c r="H35" s="33">
        <f>'Ret. y no Rem.'!AM35+'Ret. y no Rem.'!AL35</f>
        <v>0</v>
      </c>
      <c r="I35" s="33">
        <f t="shared" si="0"/>
        <v>0</v>
      </c>
      <c r="J35" s="34"/>
      <c r="K35" s="35"/>
      <c r="L35" s="34"/>
      <c r="M35" s="35"/>
      <c r="N35" s="34"/>
      <c r="O35" s="35"/>
      <c r="P35" s="35"/>
      <c r="Q35" s="35"/>
      <c r="R35" s="36"/>
      <c r="S35" s="36"/>
      <c r="T35" s="36"/>
      <c r="U35" s="36"/>
      <c r="V35" s="36"/>
      <c r="W35" s="36"/>
      <c r="X35" s="36"/>
    </row>
    <row r="36" s="20" customFormat="1" spans="1:24">
      <c r="A36" s="21"/>
      <c r="B36" s="32" t="str">
        <f>IF(Remuneración!C37="","",Remuneración!C37)</f>
        <v/>
      </c>
      <c r="C36" s="32" t="str">
        <f>IF(Remuneración!B37="","",Remuneración!B37)</f>
        <v/>
      </c>
      <c r="D36" s="32" t="str">
        <f>IF(Empleados!F37="","",Empleados!F37)</f>
        <v/>
      </c>
      <c r="E36" s="32" t="str">
        <f>IF(Empleados!M37="","",Empleados!M37)</f>
        <v/>
      </c>
      <c r="F36" s="33">
        <f>IF(Remuneración!AP37="","",Remuneración!AP37+Remuneración!AL37+Remuneración!AN37)</f>
        <v>0</v>
      </c>
      <c r="G36" s="33">
        <f>+'Ret. y no Rem.'!AC36+'Ret. VAV y SAC'!V36</f>
        <v>0</v>
      </c>
      <c r="H36" s="33">
        <f>'Ret. y no Rem.'!AM36+'Ret. y no Rem.'!AL36</f>
        <v>0</v>
      </c>
      <c r="I36" s="33">
        <f t="shared" si="0"/>
        <v>0</v>
      </c>
      <c r="J36" s="34"/>
      <c r="K36" s="35"/>
      <c r="L36" s="34"/>
      <c r="M36" s="35"/>
      <c r="N36" s="34"/>
      <c r="O36" s="35"/>
      <c r="P36" s="35"/>
      <c r="Q36" s="35"/>
      <c r="R36" s="36"/>
      <c r="S36" s="36"/>
      <c r="T36" s="36"/>
      <c r="U36" s="36"/>
      <c r="V36" s="36"/>
      <c r="W36" s="36"/>
      <c r="X36" s="36"/>
    </row>
    <row r="37" s="20" customFormat="1" spans="1:24">
      <c r="A37" s="21"/>
      <c r="B37" s="32" t="str">
        <f>IF(Remuneración!C38="","",Remuneración!C38)</f>
        <v/>
      </c>
      <c r="C37" s="32" t="str">
        <f>IF(Remuneración!B38="","",Remuneración!B38)</f>
        <v/>
      </c>
      <c r="D37" s="32" t="str">
        <f>IF(Empleados!F38="","",Empleados!F38)</f>
        <v/>
      </c>
      <c r="E37" s="32" t="str">
        <f>IF(Empleados!M38="","",Empleados!M38)</f>
        <v/>
      </c>
      <c r="F37" s="33">
        <f>IF(Remuneración!AP38="","",Remuneración!AP38+Remuneración!AL38+Remuneración!AN38)</f>
        <v>0</v>
      </c>
      <c r="G37" s="33">
        <f>+'Ret. y no Rem.'!AC37+'Ret. VAV y SAC'!V37</f>
        <v>0</v>
      </c>
      <c r="H37" s="33">
        <f>'Ret. y no Rem.'!AM37+'Ret. y no Rem.'!AL37</f>
        <v>0</v>
      </c>
      <c r="I37" s="33">
        <f t="shared" si="0"/>
        <v>0</v>
      </c>
      <c r="J37" s="34"/>
      <c r="K37" s="35"/>
      <c r="L37" s="34"/>
      <c r="M37" s="35"/>
      <c r="N37" s="34"/>
      <c r="O37" s="35"/>
      <c r="P37" s="35"/>
      <c r="Q37" s="35"/>
      <c r="R37" s="36"/>
      <c r="S37" s="36"/>
      <c r="T37" s="36"/>
      <c r="U37" s="36"/>
      <c r="V37" s="36"/>
      <c r="W37" s="36"/>
      <c r="X37" s="36"/>
    </row>
    <row r="38" s="20" customFormat="1" spans="1:24">
      <c r="A38" s="21"/>
      <c r="B38" s="32" t="str">
        <f>IF(Remuneración!C39="","",Remuneración!C39)</f>
        <v/>
      </c>
      <c r="C38" s="32" t="str">
        <f>IF(Remuneración!B39="","",Remuneración!B39)</f>
        <v/>
      </c>
      <c r="D38" s="32" t="str">
        <f>IF(Empleados!F39="","",Empleados!F39)</f>
        <v/>
      </c>
      <c r="E38" s="32" t="str">
        <f>IF(Empleados!M39="","",Empleados!M39)</f>
        <v/>
      </c>
      <c r="F38" s="33">
        <f>IF(Remuneración!AP39="","",Remuneración!AP39+Remuneración!AL39+Remuneración!AN39)</f>
        <v>0</v>
      </c>
      <c r="G38" s="33">
        <f>+'Ret. y no Rem.'!AC38+'Ret. VAV y SAC'!V38</f>
        <v>0</v>
      </c>
      <c r="H38" s="33">
        <f>'Ret. y no Rem.'!AM38+'Ret. y no Rem.'!AL38</f>
        <v>0</v>
      </c>
      <c r="I38" s="33">
        <f t="shared" si="0"/>
        <v>0</v>
      </c>
      <c r="J38" s="34"/>
      <c r="K38" s="35"/>
      <c r="L38" s="34"/>
      <c r="M38" s="35"/>
      <c r="N38" s="34"/>
      <c r="O38" s="35"/>
      <c r="P38" s="35"/>
      <c r="Q38" s="35"/>
      <c r="R38" s="36"/>
      <c r="S38" s="36"/>
      <c r="T38" s="36"/>
      <c r="U38" s="36"/>
      <c r="V38" s="36"/>
      <c r="W38" s="36"/>
      <c r="X38" s="36"/>
    </row>
    <row r="39" s="20" customFormat="1" spans="1:24">
      <c r="A39" s="21"/>
      <c r="B39" s="32" t="str">
        <f>IF(Remuneración!C40="","",Remuneración!C40)</f>
        <v/>
      </c>
      <c r="C39" s="32" t="str">
        <f>IF(Remuneración!B40="","",Remuneración!B40)</f>
        <v/>
      </c>
      <c r="D39" s="32" t="str">
        <f>IF(Empleados!F40="","",Empleados!F40)</f>
        <v/>
      </c>
      <c r="E39" s="32" t="str">
        <f>IF(Empleados!M40="","",Empleados!M40)</f>
        <v/>
      </c>
      <c r="F39" s="33">
        <f>IF(Remuneración!AP40="","",Remuneración!AP40+Remuneración!AL40+Remuneración!AN40)</f>
        <v>0</v>
      </c>
      <c r="G39" s="33">
        <f>+'Ret. y no Rem.'!AC39+'Ret. VAV y SAC'!V39</f>
        <v>0</v>
      </c>
      <c r="H39" s="33">
        <f>'Ret. y no Rem.'!AM39+'Ret. y no Rem.'!AL39</f>
        <v>0</v>
      </c>
      <c r="I39" s="33">
        <f t="shared" si="0"/>
        <v>0</v>
      </c>
      <c r="J39" s="34"/>
      <c r="K39" s="35"/>
      <c r="L39" s="34"/>
      <c r="M39" s="35"/>
      <c r="N39" s="34"/>
      <c r="O39" s="35"/>
      <c r="P39" s="35"/>
      <c r="Q39" s="35"/>
      <c r="R39" s="36"/>
      <c r="S39" s="36"/>
      <c r="T39" s="36"/>
      <c r="U39" s="36"/>
      <c r="V39" s="36"/>
      <c r="W39" s="36"/>
      <c r="X39" s="36"/>
    </row>
    <row r="40" s="20" customFormat="1" spans="1:24">
      <c r="A40" s="21"/>
      <c r="B40" s="32" t="str">
        <f>IF(Remuneración!C41="","",Remuneración!C41)</f>
        <v/>
      </c>
      <c r="C40" s="32" t="str">
        <f>IF(Remuneración!B41="","",Remuneración!B41)</f>
        <v/>
      </c>
      <c r="D40" s="32" t="str">
        <f>IF(Empleados!F41="","",Empleados!F41)</f>
        <v/>
      </c>
      <c r="E40" s="32" t="str">
        <f>IF(Empleados!M41="","",Empleados!M41)</f>
        <v/>
      </c>
      <c r="F40" s="33">
        <f>IF(Remuneración!AP41="","",Remuneración!AP41+Remuneración!AL41+Remuneración!AN41)</f>
        <v>0</v>
      </c>
      <c r="G40" s="33">
        <f>+'Ret. y no Rem.'!AC40+'Ret. VAV y SAC'!V40</f>
        <v>0</v>
      </c>
      <c r="H40" s="33">
        <f>'Ret. y no Rem.'!AM40+'Ret. y no Rem.'!AL40</f>
        <v>0</v>
      </c>
      <c r="I40" s="33">
        <f t="shared" si="0"/>
        <v>0</v>
      </c>
      <c r="J40" s="34"/>
      <c r="K40" s="35"/>
      <c r="L40" s="34"/>
      <c r="M40" s="35"/>
      <c r="N40" s="34"/>
      <c r="O40" s="35"/>
      <c r="P40" s="35"/>
      <c r="Q40" s="35"/>
      <c r="R40" s="36"/>
      <c r="S40" s="36"/>
      <c r="T40" s="36"/>
      <c r="U40" s="36"/>
      <c r="V40" s="36"/>
      <c r="W40" s="36"/>
      <c r="X40" s="36"/>
    </row>
    <row r="41" s="20" customFormat="1" spans="1:24">
      <c r="A41" s="21"/>
      <c r="B41" s="32" t="str">
        <f>IF(Remuneración!C42="","",Remuneración!C42)</f>
        <v/>
      </c>
      <c r="C41" s="32" t="str">
        <f>IF(Remuneración!B42="","",Remuneración!B42)</f>
        <v/>
      </c>
      <c r="D41" s="32" t="str">
        <f>IF(Empleados!F42="","",Empleados!F42)</f>
        <v/>
      </c>
      <c r="E41" s="32" t="str">
        <f>IF(Empleados!M42="","",Empleados!M42)</f>
        <v/>
      </c>
      <c r="F41" s="33">
        <f>IF(Remuneración!AP42="","",Remuneración!AP42+Remuneración!AL42+Remuneración!AN42)</f>
        <v>0</v>
      </c>
      <c r="G41" s="33">
        <f>+'Ret. y no Rem.'!AC41+'Ret. VAV y SAC'!V41</f>
        <v>0</v>
      </c>
      <c r="H41" s="33">
        <f>'Ret. y no Rem.'!AM41+'Ret. y no Rem.'!AL41</f>
        <v>0</v>
      </c>
      <c r="I41" s="33">
        <f t="shared" si="0"/>
        <v>0</v>
      </c>
      <c r="J41" s="34"/>
      <c r="K41" s="35"/>
      <c r="L41" s="34"/>
      <c r="M41" s="35"/>
      <c r="N41" s="34"/>
      <c r="O41" s="35"/>
      <c r="P41" s="35"/>
      <c r="Q41" s="35"/>
      <c r="R41" s="36"/>
      <c r="S41" s="36"/>
      <c r="T41" s="36"/>
      <c r="U41" s="36"/>
      <c r="V41" s="36"/>
      <c r="W41" s="36"/>
      <c r="X41" s="36"/>
    </row>
    <row r="42" s="20" customFormat="1" spans="1:24">
      <c r="A42" s="21"/>
      <c r="B42" s="32" t="str">
        <f>IF(Remuneración!C43="","",Remuneración!C43)</f>
        <v/>
      </c>
      <c r="C42" s="32" t="str">
        <f>IF(Remuneración!B43="","",Remuneración!B43)</f>
        <v/>
      </c>
      <c r="D42" s="32" t="str">
        <f>IF(Empleados!F43="","",Empleados!F43)</f>
        <v/>
      </c>
      <c r="E42" s="32" t="str">
        <f>IF(Empleados!M43="","",Empleados!M43)</f>
        <v/>
      </c>
      <c r="F42" s="33">
        <f>IF(Remuneración!AP43="","",Remuneración!AP43+Remuneración!AL43+Remuneración!AN43)</f>
        <v>0</v>
      </c>
      <c r="G42" s="33">
        <f>+'Ret. y no Rem.'!AC42+'Ret. VAV y SAC'!V42</f>
        <v>0</v>
      </c>
      <c r="H42" s="33">
        <f>'Ret. y no Rem.'!AM42+'Ret. y no Rem.'!AL42</f>
        <v>0</v>
      </c>
      <c r="I42" s="33">
        <f t="shared" si="0"/>
        <v>0</v>
      </c>
      <c r="J42" s="34"/>
      <c r="K42" s="35"/>
      <c r="L42" s="34"/>
      <c r="M42" s="35"/>
      <c r="N42" s="34"/>
      <c r="O42" s="35"/>
      <c r="P42" s="35"/>
      <c r="Q42" s="35"/>
      <c r="R42" s="36"/>
      <c r="S42" s="36"/>
      <c r="T42" s="36"/>
      <c r="U42" s="36"/>
      <c r="V42" s="36"/>
      <c r="W42" s="36"/>
      <c r="X42" s="36"/>
    </row>
    <row r="43" s="20" customFormat="1" spans="1:24">
      <c r="A43" s="21"/>
      <c r="B43" s="32" t="str">
        <f>IF(Remuneración!C44="","",Remuneración!C44)</f>
        <v/>
      </c>
      <c r="C43" s="32" t="str">
        <f>IF(Remuneración!B44="","",Remuneración!B44)</f>
        <v/>
      </c>
      <c r="D43" s="32" t="str">
        <f>IF(Empleados!F44="","",Empleados!F44)</f>
        <v/>
      </c>
      <c r="E43" s="32" t="str">
        <f>IF(Empleados!M44="","",Empleados!M44)</f>
        <v/>
      </c>
      <c r="F43" s="33">
        <f>IF(Remuneración!AP44="","",Remuneración!AP44+Remuneración!AL44+Remuneración!AN44)</f>
        <v>0</v>
      </c>
      <c r="G43" s="33">
        <f>+'Ret. y no Rem.'!AC43+'Ret. VAV y SAC'!V43</f>
        <v>0</v>
      </c>
      <c r="H43" s="33">
        <f>'Ret. y no Rem.'!AM43+'Ret. y no Rem.'!AL43</f>
        <v>0</v>
      </c>
      <c r="I43" s="33">
        <f t="shared" si="0"/>
        <v>0</v>
      </c>
      <c r="J43" s="34"/>
      <c r="K43" s="35"/>
      <c r="L43" s="34"/>
      <c r="M43" s="35"/>
      <c r="N43" s="34"/>
      <c r="O43" s="35"/>
      <c r="P43" s="35"/>
      <c r="Q43" s="35"/>
      <c r="R43" s="36"/>
      <c r="S43" s="36"/>
      <c r="T43" s="36"/>
      <c r="U43" s="36"/>
      <c r="V43" s="36"/>
      <c r="W43" s="36"/>
      <c r="X43" s="36"/>
    </row>
    <row r="44" s="20" customFormat="1" spans="1:24">
      <c r="A44" s="21"/>
      <c r="B44" s="32" t="str">
        <f>IF(Remuneración!C45="","",Remuneración!C45)</f>
        <v/>
      </c>
      <c r="C44" s="32" t="str">
        <f>IF(Remuneración!B45="","",Remuneración!B45)</f>
        <v/>
      </c>
      <c r="D44" s="32" t="str">
        <f>IF(Empleados!F45="","",Empleados!F45)</f>
        <v/>
      </c>
      <c r="E44" s="32" t="str">
        <f>IF(Empleados!M45="","",Empleados!M45)</f>
        <v/>
      </c>
      <c r="F44" s="33">
        <f>IF(Remuneración!AP45="","",Remuneración!AP45+Remuneración!AL45+Remuneración!AN45)</f>
        <v>0</v>
      </c>
      <c r="G44" s="33">
        <f>+'Ret. y no Rem.'!AC44+'Ret. VAV y SAC'!V44</f>
        <v>0</v>
      </c>
      <c r="H44" s="33">
        <f>'Ret. y no Rem.'!AM44+'Ret. y no Rem.'!AL44</f>
        <v>0</v>
      </c>
      <c r="I44" s="33">
        <f t="shared" si="0"/>
        <v>0</v>
      </c>
      <c r="J44" s="34"/>
      <c r="K44" s="35"/>
      <c r="L44" s="34"/>
      <c r="M44" s="35"/>
      <c r="N44" s="34"/>
      <c r="O44" s="35"/>
      <c r="P44" s="35"/>
      <c r="Q44" s="35"/>
      <c r="R44" s="36"/>
      <c r="S44" s="36"/>
      <c r="T44" s="36"/>
      <c r="U44" s="36"/>
      <c r="V44" s="36"/>
      <c r="W44" s="36"/>
      <c r="X44" s="36"/>
    </row>
    <row r="45" s="20" customFormat="1" spans="1:24">
      <c r="A45" s="21"/>
      <c r="B45" s="32" t="str">
        <f>IF(Remuneración!C46="","",Remuneración!C46)</f>
        <v/>
      </c>
      <c r="C45" s="32" t="str">
        <f>IF(Remuneración!B46="","",Remuneración!B46)</f>
        <v/>
      </c>
      <c r="D45" s="32" t="str">
        <f>IF(Empleados!F46="","",Empleados!F46)</f>
        <v/>
      </c>
      <c r="E45" s="32" t="str">
        <f>IF(Empleados!M46="","",Empleados!M46)</f>
        <v/>
      </c>
      <c r="F45" s="33">
        <f>IF(Remuneración!AP46="","",Remuneración!AP46+Remuneración!AL46+Remuneración!AN46)</f>
        <v>0</v>
      </c>
      <c r="G45" s="33">
        <f>+'Ret. y no Rem.'!AC45+'Ret. VAV y SAC'!V45</f>
        <v>0</v>
      </c>
      <c r="H45" s="33">
        <f>'Ret. y no Rem.'!AM45+'Ret. y no Rem.'!AL45</f>
        <v>0</v>
      </c>
      <c r="I45" s="33">
        <f t="shared" si="0"/>
        <v>0</v>
      </c>
      <c r="J45" s="34"/>
      <c r="K45" s="35"/>
      <c r="L45" s="34"/>
      <c r="M45" s="35"/>
      <c r="N45" s="34"/>
      <c r="O45" s="35"/>
      <c r="P45" s="35"/>
      <c r="Q45" s="35"/>
      <c r="R45" s="36"/>
      <c r="S45" s="36"/>
      <c r="T45" s="36"/>
      <c r="U45" s="36"/>
      <c r="V45" s="36"/>
      <c r="W45" s="36"/>
      <c r="X45" s="36"/>
    </row>
    <row r="46" s="20" customFormat="1" spans="1:24">
      <c r="A46" s="21"/>
      <c r="B46" s="32" t="str">
        <f>IF(Remuneración!C47="","",Remuneración!C47)</f>
        <v/>
      </c>
      <c r="C46" s="32" t="str">
        <f>IF(Remuneración!B47="","",Remuneración!B47)</f>
        <v/>
      </c>
      <c r="D46" s="32" t="str">
        <f>IF(Empleados!F47="","",Empleados!F47)</f>
        <v/>
      </c>
      <c r="E46" s="32" t="str">
        <f>IF(Empleados!M47="","",Empleados!M47)</f>
        <v/>
      </c>
      <c r="F46" s="33">
        <f>IF(Remuneración!AP47="","",Remuneración!AP47+Remuneración!AL47+Remuneración!AN47)</f>
        <v>0</v>
      </c>
      <c r="G46" s="33">
        <f>+'Ret. y no Rem.'!AC46+'Ret. VAV y SAC'!V46</f>
        <v>0</v>
      </c>
      <c r="H46" s="33">
        <f>'Ret. y no Rem.'!AM46+'Ret. y no Rem.'!AL46</f>
        <v>0</v>
      </c>
      <c r="I46" s="33">
        <f t="shared" si="0"/>
        <v>0</v>
      </c>
      <c r="J46" s="34"/>
      <c r="K46" s="35"/>
      <c r="L46" s="34"/>
      <c r="M46" s="35"/>
      <c r="N46" s="34"/>
      <c r="O46" s="35"/>
      <c r="P46" s="35"/>
      <c r="Q46" s="35"/>
      <c r="R46" s="36"/>
      <c r="S46" s="36"/>
      <c r="T46" s="36"/>
      <c r="U46" s="36"/>
      <c r="V46" s="36"/>
      <c r="W46" s="36"/>
      <c r="X46" s="36"/>
    </row>
    <row r="47" s="20" customFormat="1" spans="1:24">
      <c r="A47" s="21"/>
      <c r="B47" s="32" t="str">
        <f>IF(Remuneración!C48="","",Remuneración!C48)</f>
        <v/>
      </c>
      <c r="C47" s="32" t="str">
        <f>IF(Remuneración!B48="","",Remuneración!B48)</f>
        <v/>
      </c>
      <c r="D47" s="32" t="str">
        <f>IF(Empleados!F48="","",Empleados!F48)</f>
        <v/>
      </c>
      <c r="E47" s="32" t="str">
        <f>IF(Empleados!M48="","",Empleados!M48)</f>
        <v/>
      </c>
      <c r="F47" s="33">
        <f>IF(Remuneración!AP48="","",Remuneración!AP48+Remuneración!AL48+Remuneración!AN48)</f>
        <v>0</v>
      </c>
      <c r="G47" s="33">
        <f>+'Ret. y no Rem.'!AC47+'Ret. VAV y SAC'!V47</f>
        <v>0</v>
      </c>
      <c r="H47" s="33">
        <f>'Ret. y no Rem.'!AM47+'Ret. y no Rem.'!AL47</f>
        <v>0</v>
      </c>
      <c r="I47" s="33">
        <f t="shared" si="0"/>
        <v>0</v>
      </c>
      <c r="J47" s="34"/>
      <c r="K47" s="35"/>
      <c r="L47" s="34"/>
      <c r="M47" s="35"/>
      <c r="N47" s="34"/>
      <c r="O47" s="35"/>
      <c r="P47" s="35"/>
      <c r="Q47" s="35"/>
      <c r="R47" s="36"/>
      <c r="S47" s="36"/>
      <c r="T47" s="36"/>
      <c r="U47" s="36"/>
      <c r="V47" s="36"/>
      <c r="W47" s="36"/>
      <c r="X47" s="36"/>
    </row>
    <row r="48" s="20" customFormat="1" spans="1:24">
      <c r="A48" s="21"/>
      <c r="B48" s="32" t="str">
        <f>IF(Remuneración!C49="","",Remuneración!C49)</f>
        <v/>
      </c>
      <c r="C48" s="32" t="str">
        <f>IF(Remuneración!B49="","",Remuneración!B49)</f>
        <v/>
      </c>
      <c r="D48" s="32" t="str">
        <f>IF(Empleados!F49="","",Empleados!F49)</f>
        <v/>
      </c>
      <c r="E48" s="32" t="str">
        <f>IF(Empleados!M49="","",Empleados!M49)</f>
        <v/>
      </c>
      <c r="F48" s="33">
        <f>IF(Remuneración!AP49="","",Remuneración!AP49+Remuneración!AL49+Remuneración!AN49)</f>
        <v>0</v>
      </c>
      <c r="G48" s="33">
        <f>+'Ret. y no Rem.'!AC48+'Ret. VAV y SAC'!V48</f>
        <v>0</v>
      </c>
      <c r="H48" s="33">
        <f>'Ret. y no Rem.'!AM48+'Ret. y no Rem.'!AL48</f>
        <v>0</v>
      </c>
      <c r="I48" s="33">
        <f t="shared" si="0"/>
        <v>0</v>
      </c>
      <c r="J48" s="34"/>
      <c r="K48" s="35"/>
      <c r="L48" s="34"/>
      <c r="M48" s="35"/>
      <c r="N48" s="34"/>
      <c r="O48" s="35"/>
      <c r="P48" s="35"/>
      <c r="Q48" s="35"/>
      <c r="R48" s="36"/>
      <c r="S48" s="36"/>
      <c r="T48" s="36"/>
      <c r="U48" s="36"/>
      <c r="V48" s="36"/>
      <c r="W48" s="36"/>
      <c r="X48" s="36"/>
    </row>
    <row r="49" s="20" customFormat="1" spans="1:24">
      <c r="A49" s="21"/>
      <c r="B49" s="32" t="str">
        <f>IF(Remuneración!C50="","",Remuneración!C50)</f>
        <v/>
      </c>
      <c r="C49" s="32" t="str">
        <f>IF(Remuneración!B50="","",Remuneración!B50)</f>
        <v/>
      </c>
      <c r="D49" s="32" t="str">
        <f>IF(Empleados!F50="","",Empleados!F50)</f>
        <v/>
      </c>
      <c r="E49" s="32" t="str">
        <f>IF(Empleados!M50="","",Empleados!M50)</f>
        <v/>
      </c>
      <c r="F49" s="33">
        <f>IF(Remuneración!AP50="","",Remuneración!AP50+Remuneración!AL50+Remuneración!AN50)</f>
        <v>0</v>
      </c>
      <c r="G49" s="33">
        <f>+'Ret. y no Rem.'!AC49+'Ret. VAV y SAC'!V49</f>
        <v>0</v>
      </c>
      <c r="H49" s="33">
        <f>'Ret. y no Rem.'!AM49+'Ret. y no Rem.'!AL49</f>
        <v>0</v>
      </c>
      <c r="I49" s="33">
        <f t="shared" si="0"/>
        <v>0</v>
      </c>
      <c r="J49" s="34"/>
      <c r="K49" s="35"/>
      <c r="L49" s="34"/>
      <c r="M49" s="35"/>
      <c r="N49" s="34"/>
      <c r="O49" s="35"/>
      <c r="P49" s="35"/>
      <c r="Q49" s="35"/>
      <c r="R49" s="36"/>
      <c r="S49" s="36"/>
      <c r="T49" s="36"/>
      <c r="U49" s="36"/>
      <c r="V49" s="36"/>
      <c r="W49" s="36"/>
      <c r="X49" s="36"/>
    </row>
    <row r="50" s="20" customFormat="1" spans="1:24">
      <c r="A50" s="21"/>
      <c r="B50" s="32" t="str">
        <f>IF(Remuneración!C51="","",Remuneración!C51)</f>
        <v/>
      </c>
      <c r="C50" s="32" t="str">
        <f>IF(Remuneración!B51="","",Remuneración!B51)</f>
        <v/>
      </c>
      <c r="D50" s="32" t="str">
        <f>IF(Empleados!F51="","",Empleados!F51)</f>
        <v/>
      </c>
      <c r="E50" s="32" t="str">
        <f>IF(Empleados!M51="","",Empleados!M51)</f>
        <v/>
      </c>
      <c r="F50" s="33">
        <f>IF(Remuneración!AP51="","",Remuneración!AP51+Remuneración!AL51+Remuneración!AN51)</f>
        <v>0</v>
      </c>
      <c r="G50" s="33">
        <f>+'Ret. y no Rem.'!AC50+'Ret. VAV y SAC'!V50</f>
        <v>0</v>
      </c>
      <c r="H50" s="33">
        <f>'Ret. y no Rem.'!AM50+'Ret. y no Rem.'!AL50</f>
        <v>0</v>
      </c>
      <c r="I50" s="33">
        <f t="shared" si="0"/>
        <v>0</v>
      </c>
      <c r="J50" s="34"/>
      <c r="K50" s="35"/>
      <c r="L50" s="34"/>
      <c r="M50" s="35"/>
      <c r="N50" s="34"/>
      <c r="O50" s="35"/>
      <c r="P50" s="35"/>
      <c r="Q50" s="35"/>
      <c r="R50" s="36"/>
      <c r="S50" s="36"/>
      <c r="T50" s="36"/>
      <c r="U50" s="36"/>
      <c r="V50" s="36"/>
      <c r="W50" s="36"/>
      <c r="X50" s="36"/>
    </row>
    <row r="51" s="20" customFormat="1" spans="1:24">
      <c r="A51" s="21"/>
      <c r="B51" s="32" t="str">
        <f>IF(Remuneración!C52="","",Remuneración!C52)</f>
        <v/>
      </c>
      <c r="C51" s="32" t="str">
        <f>IF(Remuneración!B52="","",Remuneración!B52)</f>
        <v/>
      </c>
      <c r="D51" s="32" t="str">
        <f>IF(Empleados!F52="","",Empleados!F52)</f>
        <v/>
      </c>
      <c r="E51" s="32" t="str">
        <f>IF(Empleados!M52="","",Empleados!M52)</f>
        <v/>
      </c>
      <c r="F51" s="33">
        <f>IF(Remuneración!AP52="","",Remuneración!AP52+Remuneración!AL52+Remuneración!AN52)</f>
        <v>0</v>
      </c>
      <c r="G51" s="33">
        <f>+'Ret. y no Rem.'!AC51+'Ret. VAV y SAC'!V51</f>
        <v>0</v>
      </c>
      <c r="H51" s="33">
        <f>'Ret. y no Rem.'!AM51+'Ret. y no Rem.'!AL51</f>
        <v>0</v>
      </c>
      <c r="I51" s="33">
        <f t="shared" si="0"/>
        <v>0</v>
      </c>
      <c r="J51" s="34"/>
      <c r="K51" s="35"/>
      <c r="L51" s="34"/>
      <c r="M51" s="35"/>
      <c r="N51" s="34"/>
      <c r="O51" s="35"/>
      <c r="P51" s="35"/>
      <c r="Q51" s="35"/>
      <c r="R51" s="36"/>
      <c r="S51" s="36"/>
      <c r="T51" s="36"/>
      <c r="U51" s="36"/>
      <c r="V51" s="36"/>
      <c r="W51" s="36"/>
      <c r="X51" s="36"/>
    </row>
    <row r="52" s="20" customFormat="1" spans="1:24">
      <c r="A52" s="21"/>
      <c r="B52" s="32" t="str">
        <f>IF(Remuneración!C53="","",Remuneración!C53)</f>
        <v/>
      </c>
      <c r="C52" s="32" t="str">
        <f>IF(Remuneración!B53="","",Remuneración!B53)</f>
        <v/>
      </c>
      <c r="D52" s="32" t="str">
        <f>IF(Empleados!F53="","",Empleados!F53)</f>
        <v/>
      </c>
      <c r="E52" s="32" t="str">
        <f>IF(Empleados!M53="","",Empleados!M53)</f>
        <v/>
      </c>
      <c r="F52" s="33">
        <f>IF(Remuneración!AP53="","",Remuneración!AP53+Remuneración!AL53+Remuneración!AN53)</f>
        <v>0</v>
      </c>
      <c r="G52" s="33">
        <f>+'Ret. y no Rem.'!AC52+'Ret. VAV y SAC'!V52</f>
        <v>0</v>
      </c>
      <c r="H52" s="33">
        <f>'Ret. y no Rem.'!AM52+'Ret. y no Rem.'!AL52</f>
        <v>0</v>
      </c>
      <c r="I52" s="33">
        <f t="shared" si="0"/>
        <v>0</v>
      </c>
      <c r="J52" s="34"/>
      <c r="K52" s="35"/>
      <c r="L52" s="34"/>
      <c r="M52" s="35"/>
      <c r="N52" s="34"/>
      <c r="O52" s="35"/>
      <c r="P52" s="35"/>
      <c r="Q52" s="35"/>
      <c r="R52" s="36"/>
      <c r="S52" s="36"/>
      <c r="T52" s="36"/>
      <c r="U52" s="36"/>
      <c r="V52" s="36"/>
      <c r="W52" s="36"/>
      <c r="X52" s="36"/>
    </row>
    <row r="53" s="20" customFormat="1" spans="1:24">
      <c r="A53" s="21"/>
      <c r="B53" s="32" t="str">
        <f>IF(Remuneración!C54="","",Remuneración!C54)</f>
        <v/>
      </c>
      <c r="C53" s="32" t="str">
        <f>IF(Remuneración!B54="","",Remuneración!B54)</f>
        <v/>
      </c>
      <c r="D53" s="32" t="str">
        <f>IF(Empleados!F54="","",Empleados!F54)</f>
        <v/>
      </c>
      <c r="E53" s="32" t="str">
        <f>IF(Empleados!M54="","",Empleados!M54)</f>
        <v/>
      </c>
      <c r="F53" s="33">
        <f>IF(Remuneración!AP54="","",Remuneración!AP54+Remuneración!AL54+Remuneración!AN54)</f>
        <v>0</v>
      </c>
      <c r="G53" s="33">
        <f>+'Ret. y no Rem.'!AC53+'Ret. VAV y SAC'!V53</f>
        <v>0</v>
      </c>
      <c r="H53" s="33">
        <f>'Ret. y no Rem.'!AM53+'Ret. y no Rem.'!AL53</f>
        <v>0</v>
      </c>
      <c r="I53" s="33">
        <f t="shared" si="0"/>
        <v>0</v>
      </c>
      <c r="J53" s="34"/>
      <c r="K53" s="35"/>
      <c r="L53" s="34"/>
      <c r="M53" s="35"/>
      <c r="N53" s="34"/>
      <c r="O53" s="35"/>
      <c r="P53" s="35"/>
      <c r="Q53" s="35"/>
      <c r="R53" s="36"/>
      <c r="S53" s="36"/>
      <c r="T53" s="36"/>
      <c r="U53" s="36"/>
      <c r="V53" s="36"/>
      <c r="W53" s="36"/>
      <c r="X53" s="36"/>
    </row>
    <row r="54" s="20" customFormat="1" spans="1:24">
      <c r="A54" s="21"/>
      <c r="B54" s="32" t="str">
        <f>IF(Remuneración!C55="","",Remuneración!C55)</f>
        <v/>
      </c>
      <c r="C54" s="32" t="str">
        <f>IF(Remuneración!B55="","",Remuneración!B55)</f>
        <v/>
      </c>
      <c r="D54" s="32" t="str">
        <f>IF(Empleados!F55="","",Empleados!F55)</f>
        <v/>
      </c>
      <c r="E54" s="32" t="str">
        <f>IF(Empleados!M55="","",Empleados!M55)</f>
        <v/>
      </c>
      <c r="F54" s="33">
        <f>IF(Remuneración!AP55="","",Remuneración!AP55+Remuneración!AL55+Remuneración!AN55)</f>
        <v>0</v>
      </c>
      <c r="G54" s="33">
        <f>+'Ret. y no Rem.'!AC54+'Ret. VAV y SAC'!V54</f>
        <v>0</v>
      </c>
      <c r="H54" s="33">
        <f>'Ret. y no Rem.'!AM54+'Ret. y no Rem.'!AL54</f>
        <v>0</v>
      </c>
      <c r="I54" s="33">
        <f t="shared" si="0"/>
        <v>0</v>
      </c>
      <c r="J54" s="34"/>
      <c r="K54" s="35"/>
      <c r="L54" s="34"/>
      <c r="M54" s="35"/>
      <c r="N54" s="34"/>
      <c r="O54" s="35"/>
      <c r="P54" s="35"/>
      <c r="Q54" s="35"/>
      <c r="R54" s="36"/>
      <c r="S54" s="36"/>
      <c r="T54" s="36"/>
      <c r="U54" s="36"/>
      <c r="V54" s="36"/>
      <c r="W54" s="36"/>
      <c r="X54" s="36"/>
    </row>
    <row r="55" s="20" customFormat="1" spans="1:24">
      <c r="A55" s="21"/>
      <c r="B55" s="32" t="str">
        <f>IF(Remuneración!C56="","",Remuneración!C56)</f>
        <v/>
      </c>
      <c r="C55" s="32" t="str">
        <f>IF(Remuneración!B56="","",Remuneración!B56)</f>
        <v/>
      </c>
      <c r="D55" s="32" t="str">
        <f>IF(Empleados!F56="","",Empleados!F56)</f>
        <v/>
      </c>
      <c r="E55" s="32" t="str">
        <f>IF(Empleados!M56="","",Empleados!M56)</f>
        <v/>
      </c>
      <c r="F55" s="33">
        <f>IF(Remuneración!AP56="","",Remuneración!AP56+Remuneración!AL56+Remuneración!AN56)</f>
        <v>0</v>
      </c>
      <c r="G55" s="33">
        <f>+'Ret. y no Rem.'!AC55+'Ret. VAV y SAC'!V55</f>
        <v>0</v>
      </c>
      <c r="H55" s="33">
        <f>'Ret. y no Rem.'!AM55+'Ret. y no Rem.'!AL55</f>
        <v>0</v>
      </c>
      <c r="I55" s="33">
        <f t="shared" si="0"/>
        <v>0</v>
      </c>
      <c r="J55" s="34"/>
      <c r="K55" s="35"/>
      <c r="L55" s="34"/>
      <c r="M55" s="35"/>
      <c r="N55" s="34"/>
      <c r="O55" s="35"/>
      <c r="P55" s="35"/>
      <c r="Q55" s="35"/>
      <c r="R55" s="36"/>
      <c r="S55" s="36"/>
      <c r="T55" s="36"/>
      <c r="U55" s="36"/>
      <c r="V55" s="36"/>
      <c r="W55" s="36"/>
      <c r="X55" s="36"/>
    </row>
    <row r="56" s="20" customFormat="1" spans="1:24">
      <c r="A56" s="21"/>
      <c r="B56" s="32" t="str">
        <f>IF(Remuneración!C58="","",Remuneración!C58)</f>
        <v/>
      </c>
      <c r="C56" s="32" t="str">
        <f>IF(Remuneración!B58="","",Remuneración!B58)</f>
        <v/>
      </c>
      <c r="D56" s="32" t="str">
        <f>IF(Empleados!F57="","",Empleados!F57)</f>
        <v/>
      </c>
      <c r="E56" s="32" t="str">
        <f>IF(Empleados!M57="","",Empleados!M57)</f>
        <v/>
      </c>
      <c r="F56" s="33">
        <f>IF(Remuneración!AP58="","",Remuneración!AP58+Remuneración!AL58+Remuneración!AN58)</f>
        <v>0</v>
      </c>
      <c r="G56" s="33">
        <f>+'Ret. y no Rem.'!AC56+'Ret. VAV y SAC'!V56</f>
        <v>0</v>
      </c>
      <c r="H56" s="33">
        <f>'Ret. y no Rem.'!AM56+'Ret. y no Rem.'!AL56</f>
        <v>0</v>
      </c>
      <c r="I56" s="33">
        <f t="shared" si="0"/>
        <v>0</v>
      </c>
      <c r="J56" s="34"/>
      <c r="K56" s="35"/>
      <c r="L56" s="34"/>
      <c r="M56" s="35"/>
      <c r="N56" s="34"/>
      <c r="O56" s="35"/>
      <c r="P56" s="35"/>
      <c r="Q56" s="35"/>
      <c r="R56" s="36"/>
      <c r="S56" s="36"/>
      <c r="T56" s="36"/>
      <c r="U56" s="36"/>
      <c r="V56" s="36"/>
      <c r="W56" s="36"/>
      <c r="X56" s="36"/>
    </row>
  </sheetData>
  <sheetProtection sheet="1" formatCells="0" formatColumns="0" formatRows="0" insertHyperlinks="0" autoFilter="0" pivotTables="0" objects="1" scenarios="1"/>
  <mergeCells count="2">
    <mergeCell ref="B2:H2"/>
    <mergeCell ref="B4:D4"/>
  </mergeCells>
  <conditionalFormatting sqref="F7:I56">
    <cfRule type="expression" dxfId="1" priority="1" stopIfTrue="1">
      <formula>F7=0</formula>
    </cfRule>
  </conditionalFormatting>
  <printOptions horizontalCentered="1"/>
  <pageMargins left="0.75" right="0.75" top="1" bottom="1" header="0" footer="0"/>
  <pageSetup paperSize="9" orientation="landscape" blackAndWhite="1" horizontalDpi="300" verticalDpi="300"/>
  <headerFooter alignWithMargins="0"/>
  <rowBreaks count="1" manualBreakCount="1">
    <brk id="55" max="9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9"/>
  <dimension ref="B2:J22"/>
  <sheetViews>
    <sheetView showRowColHeaders="0" zoomScaleSheetLayoutView="60" workbookViewId="0">
      <selection activeCell="A1" sqref="A1"/>
    </sheetView>
  </sheetViews>
  <sheetFormatPr defaultColWidth="11.4285714285714" defaultRowHeight="12.75"/>
  <cols>
    <col min="1" max="1" width="14.8571428571429" style="1" customWidth="1"/>
    <col min="2" max="2" width="0.571428571428571" style="1" customWidth="1"/>
    <col min="3" max="3" width="0.857142857142857" style="1" customWidth="1"/>
    <col min="4" max="4" width="21.4285714285714" style="1" customWidth="1"/>
    <col min="5" max="5" width="1.42857142857143" style="1" customWidth="1"/>
    <col min="6" max="6" width="16.5714285714286" style="1" customWidth="1"/>
    <col min="7" max="7" width="1.71428571428571" style="1" customWidth="1"/>
    <col min="8" max="8" width="30" style="1" customWidth="1"/>
    <col min="9" max="9" width="1.85714285714286" style="1" customWidth="1"/>
    <col min="10" max="10" width="0.571428571428571" style="1" customWidth="1"/>
    <col min="11" max="16384" width="11.4285714285714" style="1"/>
  </cols>
  <sheetData>
    <row r="2" ht="24.75" customHeight="1"/>
    <row r="3" ht="3.75" customHeight="1" spans="2:10">
      <c r="B3" s="2"/>
      <c r="C3" s="3"/>
      <c r="D3" s="3"/>
      <c r="E3" s="3"/>
      <c r="F3" s="3"/>
      <c r="G3" s="3"/>
      <c r="H3" s="3"/>
      <c r="I3" s="3"/>
      <c r="J3" s="4"/>
    </row>
    <row r="4" ht="33.75" customHeight="1" spans="2:10">
      <c r="B4" s="5"/>
      <c r="C4" s="6" t="s">
        <v>153</v>
      </c>
      <c r="D4" s="7"/>
      <c r="E4" s="7"/>
      <c r="F4" s="7"/>
      <c r="G4" s="7"/>
      <c r="H4" s="7"/>
      <c r="I4" s="8"/>
      <c r="J4" s="9"/>
    </row>
    <row r="5" ht="2.25" customHeight="1" spans="2:10">
      <c r="B5" s="5"/>
      <c r="C5" s="10"/>
      <c r="D5" s="10"/>
      <c r="E5" s="10"/>
      <c r="F5" s="10"/>
      <c r="G5" s="10"/>
      <c r="H5" s="10"/>
      <c r="I5" s="11"/>
      <c r="J5" s="9"/>
    </row>
    <row r="6" ht="7.5" customHeight="1" spans="2:10">
      <c r="B6" s="5"/>
      <c r="C6" s="12"/>
      <c r="D6" s="12"/>
      <c r="E6" s="12"/>
      <c r="F6" s="12"/>
      <c r="G6" s="13"/>
      <c r="H6" s="13"/>
      <c r="I6" s="13"/>
      <c r="J6" s="9"/>
    </row>
    <row r="7" ht="2.25" customHeight="1" spans="2:10">
      <c r="B7" s="5"/>
      <c r="C7" s="12"/>
      <c r="D7" s="12"/>
      <c r="E7" s="12"/>
      <c r="F7" s="12"/>
      <c r="G7" s="13"/>
      <c r="H7" s="13"/>
      <c r="I7" s="13"/>
      <c r="J7" s="9"/>
    </row>
    <row r="8" ht="1.5" customHeight="1" spans="2:10">
      <c r="B8" s="5"/>
      <c r="C8" s="12"/>
      <c r="D8" s="12"/>
      <c r="E8" s="12"/>
      <c r="F8" s="12"/>
      <c r="G8" s="13"/>
      <c r="H8" s="13"/>
      <c r="I8" s="13"/>
      <c r="J8" s="9"/>
    </row>
    <row r="9" spans="2:10">
      <c r="B9" s="5"/>
      <c r="C9" s="12"/>
      <c r="D9" s="12"/>
      <c r="E9" s="12"/>
      <c r="F9" s="12"/>
      <c r="G9" s="13"/>
      <c r="H9" s="13"/>
      <c r="I9" s="13"/>
      <c r="J9" s="9"/>
    </row>
    <row r="10" ht="4.5" customHeight="1" spans="2:10">
      <c r="B10" s="5"/>
      <c r="C10" s="12"/>
      <c r="D10" s="12"/>
      <c r="E10" s="12"/>
      <c r="F10" s="12"/>
      <c r="G10" s="13"/>
      <c r="H10" s="13"/>
      <c r="I10" s="13"/>
      <c r="J10" s="9"/>
    </row>
    <row r="11" spans="2:10">
      <c r="B11" s="5"/>
      <c r="C11" s="12"/>
      <c r="D11" s="12"/>
      <c r="E11" s="12"/>
      <c r="F11" s="12"/>
      <c r="G11" s="13"/>
      <c r="H11" s="13"/>
      <c r="I11" s="13"/>
      <c r="J11" s="9"/>
    </row>
    <row r="12" spans="2:10">
      <c r="B12" s="5"/>
      <c r="C12" s="12"/>
      <c r="D12" s="12"/>
      <c r="E12" s="12"/>
      <c r="F12" s="12"/>
      <c r="G12" s="13"/>
      <c r="H12" s="13"/>
      <c r="I12" s="13"/>
      <c r="J12" s="9"/>
    </row>
    <row r="13" spans="2:10">
      <c r="B13" s="5"/>
      <c r="C13" s="12"/>
      <c r="D13" s="12"/>
      <c r="E13" s="12"/>
      <c r="F13" s="12"/>
      <c r="G13" s="13"/>
      <c r="H13" s="13"/>
      <c r="I13" s="13"/>
      <c r="J13" s="9"/>
    </row>
    <row r="14" spans="2:10">
      <c r="B14" s="5"/>
      <c r="C14" s="12"/>
      <c r="D14" s="12"/>
      <c r="E14" s="12"/>
      <c r="F14" s="12"/>
      <c r="G14" s="13"/>
      <c r="H14" s="13"/>
      <c r="I14" s="13"/>
      <c r="J14" s="9"/>
    </row>
    <row r="15" spans="2:10">
      <c r="B15" s="5"/>
      <c r="C15" s="12"/>
      <c r="D15" s="12"/>
      <c r="E15" s="12"/>
      <c r="F15" s="12"/>
      <c r="G15" s="13"/>
      <c r="H15" s="13"/>
      <c r="I15" s="13"/>
      <c r="J15" s="9"/>
    </row>
    <row r="16" spans="2:10">
      <c r="B16" s="5"/>
      <c r="C16" s="12"/>
      <c r="D16" s="12"/>
      <c r="E16" s="12"/>
      <c r="F16" s="12"/>
      <c r="G16" s="13"/>
      <c r="H16" s="13"/>
      <c r="I16" s="13"/>
      <c r="J16" s="9"/>
    </row>
    <row r="17" spans="2:10">
      <c r="B17" s="5"/>
      <c r="C17" s="12"/>
      <c r="D17" s="12"/>
      <c r="E17" s="12"/>
      <c r="F17" s="12"/>
      <c r="G17" s="13"/>
      <c r="H17" s="13"/>
      <c r="I17" s="13"/>
      <c r="J17" s="9"/>
    </row>
    <row r="18" spans="2:10">
      <c r="B18" s="5"/>
      <c r="C18" s="12"/>
      <c r="D18" s="12"/>
      <c r="E18" s="12"/>
      <c r="F18" s="12"/>
      <c r="G18" s="13"/>
      <c r="H18" s="13"/>
      <c r="I18" s="13"/>
      <c r="J18" s="9"/>
    </row>
    <row r="19" ht="0.75" customHeight="1" spans="2:10">
      <c r="B19" s="5"/>
      <c r="C19" s="14"/>
      <c r="D19" s="14"/>
      <c r="E19" s="14"/>
      <c r="F19" s="14"/>
      <c r="G19" s="14"/>
      <c r="H19" s="14"/>
      <c r="I19" s="14"/>
      <c r="J19" s="9"/>
    </row>
    <row r="20" ht="15" customHeight="1" spans="2:10">
      <c r="B20" s="5"/>
      <c r="C20" s="12"/>
      <c r="D20" s="12"/>
      <c r="E20" s="12"/>
      <c r="F20" s="12"/>
      <c r="G20" s="13"/>
      <c r="H20" s="13"/>
      <c r="I20" s="13"/>
      <c r="J20" s="9"/>
    </row>
    <row r="21" spans="2:10">
      <c r="B21" s="5"/>
      <c r="C21" s="12"/>
      <c r="D21" s="12"/>
      <c r="E21" s="12"/>
      <c r="F21" s="12"/>
      <c r="G21" s="13"/>
      <c r="H21" s="13"/>
      <c r="I21" s="13"/>
      <c r="J21" s="9"/>
    </row>
    <row r="22" ht="3.75" customHeight="1" spans="2:10">
      <c r="B22" s="15"/>
      <c r="C22" s="16"/>
      <c r="D22" s="16"/>
      <c r="E22" s="16"/>
      <c r="F22" s="16"/>
      <c r="G22" s="16"/>
      <c r="H22" s="16"/>
      <c r="I22" s="16"/>
      <c r="J22" s="17"/>
    </row>
  </sheetData>
  <sheetProtection password="C6DC" sheet="1" objects="1" scenarios="1"/>
  <mergeCells count="1">
    <mergeCell ref="C4:I4"/>
  </mergeCells>
  <pageMargins left="0.75" right="0.75" top="1" bottom="1" header="0.5" footer="0.5"/>
  <pageSetup paperSize="9" orientation="portrait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shapeId="14346" r:id="rId3">
          <objectPr defaultSize="0" r:id="rId4">
            <anchor moveWithCells="1" sizeWithCells="1">
              <from>
                <xdr:col>5</xdr:col>
                <xdr:colOff>1019810</xdr:colOff>
                <xdr:row>19</xdr:row>
                <xdr:rowOff>57150</xdr:rowOff>
              </from>
              <to>
                <xdr:col>7</xdr:col>
                <xdr:colOff>19685</xdr:colOff>
                <xdr:row>20</xdr:row>
                <xdr:rowOff>85725</xdr:rowOff>
              </to>
            </anchor>
          </objectPr>
        </oleObject>
      </mc:Choice>
      <mc:Fallback>
        <oleObject shapeId="14346" r:id="rId3"/>
      </mc:Fallback>
    </mc:AlternateContent>
    <mc:AlternateContent xmlns:mc="http://schemas.openxmlformats.org/markup-compatibility/2006">
      <mc:Choice Requires="x14">
        <oleObject shapeId="14343" r:id="rId5">
          <objectPr defaultSize="0" r:id="rId6">
            <anchor moveWithCells="1" sizeWithCells="1">
              <from>
                <xdr:col>3</xdr:col>
                <xdr:colOff>1085215</xdr:colOff>
                <xdr:row>19</xdr:row>
                <xdr:rowOff>66675</xdr:rowOff>
              </from>
              <to>
                <xdr:col>3</xdr:col>
                <xdr:colOff>1276350</xdr:colOff>
                <xdr:row>20</xdr:row>
                <xdr:rowOff>76200</xdr:rowOff>
              </to>
            </anchor>
          </objectPr>
        </oleObject>
      </mc:Choice>
      <mc:Fallback>
        <oleObject shapeId="14343" r:id="rId5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13" master="" otherUserPermission="visible"/>
  <rangeList sheetStid="3" master="" otherUserPermission="visible"/>
  <rangeList sheetStid="5" master="" otherUserPermission="visible"/>
  <rangeList sheetStid="1" master="" otherUserPermission="visible"/>
  <rangeList sheetStid="2" master="" otherUserPermission="visible"/>
  <rangeList sheetStid="16" master="" otherUserPermission="visible"/>
  <rangeList sheetStid="6" master="" otherUserPermission="visible"/>
  <rangeList sheetStid="10" master="" otherUserPermission="visible"/>
  <rangeList sheetStid="15" master="" otherUserPermission="visible"/>
  <rangeList sheetStid="7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Listas</vt:lpstr>
      <vt:lpstr>Menú</vt:lpstr>
      <vt:lpstr>Empleador</vt:lpstr>
      <vt:lpstr>Empleados</vt:lpstr>
      <vt:lpstr>Remuneración</vt:lpstr>
      <vt:lpstr>Ret. y no Rem.</vt:lpstr>
      <vt:lpstr>Ret. VAV y SAC</vt:lpstr>
      <vt:lpstr>Recibo</vt:lpstr>
      <vt:lpstr>Recibo SAC</vt:lpstr>
      <vt:lpstr>Recibo Vacaciones</vt:lpstr>
      <vt:lpstr>Reporte</vt:lpstr>
      <vt:lpstr>Importante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Liquidación de Sueldos Mensualizados</dc:title>
  <dc:subject>Liquidación de Sueldos y Jornales con Excel</dc:subject>
  <dc:creator>Omicron System S.A.</dc:creator>
  <cp:lastModifiedBy>Anibal Farias</cp:lastModifiedBy>
  <dcterms:created xsi:type="dcterms:W3CDTF">2003-08-20T13:55:48Z</dcterms:created>
  <cp:lastPrinted>2012-05-17T03:21:05Z</cp:lastPrinted>
  <dcterms:modified xsi:type="dcterms:W3CDTF">2026-04-29T17:58:03Z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8A4E15EDA3424E689356219E696E773B_13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